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cgbengenharia-my.sharepoint.com/personal/italo_fontes_cgbengenharia_com_br/Documents/Área de Trabalho/"/>
    </mc:Choice>
  </mc:AlternateContent>
  <xr:revisionPtr revIDLastSave="2" documentId="13_ncr:1_{82CE326B-3310-47FC-BC5D-70B4BBEAFB3A}" xr6:coauthVersionLast="47" xr6:coauthVersionMax="47" xr10:uidLastSave="{14178DD5-C185-4351-AA5C-B8252BCD2B0B}"/>
  <bookViews>
    <workbookView xWindow="-108" yWindow="-108" windowWidth="23256" windowHeight="12456" tabRatio="907" xr2:uid="{00000000-000D-0000-FFFF-FFFF00000000}"/>
  </bookViews>
  <sheets>
    <sheet name="SINTESE" sheetId="8" r:id="rId1"/>
    <sheet name="VALID" sheetId="9" state="hidden" r:id="rId2"/>
    <sheet name="MATERIAIS" sheetId="5" r:id="rId3"/>
  </sheets>
  <definedNames>
    <definedName name="_xlnm._FilterDatabase" localSheetId="2" hidden="1">MATERIAIS!$B$5:$I$5</definedName>
    <definedName name="_xlnm.Print_Area" localSheetId="0">SINTESE!$B$2:$O$72,SINTESE!$Q$74:$Z$187</definedName>
    <definedName name="BACABAL">VALID!$B$3:$B$17</definedName>
    <definedName name="DISTRITAL">VALID!$A$3:$A$7</definedName>
    <definedName name="ITAPECURU">VALID!$C$3:$C$13</definedName>
    <definedName name="ITAPECURU_MIRIM">VALID!$C$3:$C$13</definedName>
    <definedName name="P.DUTRA">VALID!$E$3:$E$20</definedName>
    <definedName name="PEDREIRAS">VALID!$D$3:$D$17</definedName>
    <definedName name="PRESIDENTE_DUTRA">VALID!$E$3:$E$20</definedName>
    <definedName name="SANTA_INES">VALID!$F$3:$F$18</definedName>
  </definedNames>
  <calcPr calcId="191029" calcCompleted="0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6" i="8" l="1"/>
  <c r="Y106" i="8" s="1"/>
  <c r="X104" i="8"/>
  <c r="Y104" i="8" s="1"/>
  <c r="I33" i="5"/>
  <c r="I31" i="5"/>
  <c r="X86" i="8"/>
  <c r="Y86" i="8" s="1"/>
  <c r="I13" i="5"/>
  <c r="X85" i="8"/>
  <c r="Y85" i="8" s="1"/>
  <c r="I12" i="5"/>
  <c r="R8" i="8"/>
  <c r="X79" i="8"/>
  <c r="AA79" i="8" s="1"/>
  <c r="X80" i="8"/>
  <c r="AA80" i="8" s="1"/>
  <c r="X81" i="8"/>
  <c r="AA81" i="8" s="1"/>
  <c r="X82" i="8"/>
  <c r="AA82" i="8" s="1"/>
  <c r="X83" i="8"/>
  <c r="AA83" i="8" s="1"/>
  <c r="X84" i="8"/>
  <c r="AA84" i="8" s="1"/>
  <c r="X87" i="8"/>
  <c r="AA87" i="8" s="1"/>
  <c r="X88" i="8"/>
  <c r="AA88" i="8" s="1"/>
  <c r="X89" i="8"/>
  <c r="AA89" i="8" s="1"/>
  <c r="X90" i="8"/>
  <c r="AA90" i="8" s="1"/>
  <c r="X91" i="8"/>
  <c r="AA91" i="8" s="1"/>
  <c r="X92" i="8"/>
  <c r="AA92" i="8" s="1"/>
  <c r="X93" i="8"/>
  <c r="AA93" i="8" s="1"/>
  <c r="X94" i="8"/>
  <c r="AA94" i="8" s="1"/>
  <c r="X95" i="8"/>
  <c r="AA95" i="8" s="1"/>
  <c r="X96" i="8"/>
  <c r="AA96" i="8" s="1"/>
  <c r="X97" i="8"/>
  <c r="AA97" i="8" s="1"/>
  <c r="X98" i="8"/>
  <c r="AA98" i="8" s="1"/>
  <c r="X99" i="8"/>
  <c r="AA99" i="8" s="1"/>
  <c r="X100" i="8"/>
  <c r="AA100" i="8" s="1"/>
  <c r="X101" i="8"/>
  <c r="AA101" i="8" s="1"/>
  <c r="X102" i="8"/>
  <c r="AA102" i="8" s="1"/>
  <c r="X103" i="8"/>
  <c r="AA103" i="8" s="1"/>
  <c r="X105" i="8"/>
  <c r="AA105" i="8" s="1"/>
  <c r="X107" i="8"/>
  <c r="AA107" i="8" s="1"/>
  <c r="X108" i="8"/>
  <c r="AA108" i="8" s="1"/>
  <c r="X109" i="8"/>
  <c r="AA109" i="8" s="1"/>
  <c r="X110" i="8"/>
  <c r="AA110" i="8" s="1"/>
  <c r="X111" i="8"/>
  <c r="AA111" i="8" s="1"/>
  <c r="X112" i="8"/>
  <c r="AA112" i="8" s="1"/>
  <c r="X113" i="8"/>
  <c r="AA113" i="8" s="1"/>
  <c r="X114" i="8"/>
  <c r="AA114" i="8" s="1"/>
  <c r="X115" i="8"/>
  <c r="AA115" i="8" s="1"/>
  <c r="X116" i="8"/>
  <c r="AA116" i="8" s="1"/>
  <c r="X117" i="8"/>
  <c r="AA117" i="8" s="1"/>
  <c r="X118" i="8"/>
  <c r="AA118" i="8" s="1"/>
  <c r="X119" i="8"/>
  <c r="AA119" i="8" s="1"/>
  <c r="X120" i="8"/>
  <c r="AA120" i="8" s="1"/>
  <c r="X121" i="8"/>
  <c r="AA121" i="8" s="1"/>
  <c r="X122" i="8"/>
  <c r="AA122" i="8" s="1"/>
  <c r="X123" i="8"/>
  <c r="AA123" i="8" s="1"/>
  <c r="X124" i="8"/>
  <c r="AA124" i="8" s="1"/>
  <c r="X125" i="8"/>
  <c r="AA125" i="8" s="1"/>
  <c r="X126" i="8"/>
  <c r="AA126" i="8" s="1"/>
  <c r="X127" i="8"/>
  <c r="AA127" i="8" s="1"/>
  <c r="X128" i="8"/>
  <c r="AA128" i="8" s="1"/>
  <c r="X129" i="8"/>
  <c r="AA129" i="8" s="1"/>
  <c r="X130" i="8"/>
  <c r="AA130" i="8" s="1"/>
  <c r="X131" i="8"/>
  <c r="AA131" i="8" s="1"/>
  <c r="X132" i="8"/>
  <c r="AA132" i="8" s="1"/>
  <c r="X133" i="8"/>
  <c r="AA133" i="8" s="1"/>
  <c r="X134" i="8"/>
  <c r="AA134" i="8" s="1"/>
  <c r="X135" i="8"/>
  <c r="AA135" i="8" s="1"/>
  <c r="X136" i="8"/>
  <c r="AA136" i="8" s="1"/>
  <c r="X137" i="8"/>
  <c r="AA137" i="8" s="1"/>
  <c r="X138" i="8"/>
  <c r="AA138" i="8" s="1"/>
  <c r="X139" i="8"/>
  <c r="AA139" i="8" s="1"/>
  <c r="X140" i="8"/>
  <c r="AA140" i="8" s="1"/>
  <c r="X141" i="8"/>
  <c r="AA141" i="8" s="1"/>
  <c r="X142" i="8"/>
  <c r="AA142" i="8" s="1"/>
  <c r="X143" i="8"/>
  <c r="AA143" i="8" s="1"/>
  <c r="X144" i="8"/>
  <c r="AA144" i="8" s="1"/>
  <c r="X145" i="8"/>
  <c r="AA145" i="8" s="1"/>
  <c r="X146" i="8"/>
  <c r="AA146" i="8" s="1"/>
  <c r="X147" i="8"/>
  <c r="AA147" i="8" s="1"/>
  <c r="X148" i="8"/>
  <c r="AA148" i="8" s="1"/>
  <c r="X149" i="8"/>
  <c r="AA149" i="8" s="1"/>
  <c r="X150" i="8"/>
  <c r="AA150" i="8" s="1"/>
  <c r="X151" i="8"/>
  <c r="AA151" i="8" s="1"/>
  <c r="X152" i="8"/>
  <c r="AA152" i="8" s="1"/>
  <c r="X153" i="8"/>
  <c r="AA153" i="8" s="1"/>
  <c r="X154" i="8"/>
  <c r="AA154" i="8" s="1"/>
  <c r="X155" i="8"/>
  <c r="AA155" i="8" s="1"/>
  <c r="X156" i="8"/>
  <c r="AA156" i="8" s="1"/>
  <c r="X157" i="8"/>
  <c r="AA157" i="8" s="1"/>
  <c r="X158" i="8"/>
  <c r="AA158" i="8" s="1"/>
  <c r="X159" i="8"/>
  <c r="AA159" i="8" s="1"/>
  <c r="X160" i="8"/>
  <c r="AA160" i="8" s="1"/>
  <c r="X161" i="8"/>
  <c r="AA161" i="8" s="1"/>
  <c r="X162" i="8"/>
  <c r="AA162" i="8" s="1"/>
  <c r="X163" i="8"/>
  <c r="AA163" i="8" s="1"/>
  <c r="X164" i="8"/>
  <c r="AA164" i="8" s="1"/>
  <c r="X165" i="8"/>
  <c r="AA165" i="8" s="1"/>
  <c r="X166" i="8"/>
  <c r="AA166" i="8" s="1"/>
  <c r="X167" i="8"/>
  <c r="AA167" i="8" s="1"/>
  <c r="X168" i="8"/>
  <c r="AA168" i="8" s="1"/>
  <c r="X169" i="8"/>
  <c r="AA169" i="8" s="1"/>
  <c r="X170" i="8"/>
  <c r="AA170" i="8" s="1"/>
  <c r="X171" i="8"/>
  <c r="AA171" i="8" s="1"/>
  <c r="X172" i="8"/>
  <c r="AA172" i="8" s="1"/>
  <c r="X173" i="8"/>
  <c r="AA173" i="8" s="1"/>
  <c r="X174" i="8"/>
  <c r="AA174" i="8" s="1"/>
  <c r="X175" i="8"/>
  <c r="AA175" i="8" s="1"/>
  <c r="X176" i="8"/>
  <c r="AA176" i="8" s="1"/>
  <c r="X177" i="8"/>
  <c r="AA177" i="8" s="1"/>
  <c r="X178" i="8"/>
  <c r="AA178" i="8" s="1"/>
  <c r="X179" i="8"/>
  <c r="AA179" i="8" s="1"/>
  <c r="X180" i="8"/>
  <c r="AA180" i="8" s="1"/>
  <c r="X181" i="8"/>
  <c r="AA181" i="8" s="1"/>
  <c r="X182" i="8"/>
  <c r="AA182" i="8" s="1"/>
  <c r="X183" i="8"/>
  <c r="AA183" i="8" s="1"/>
  <c r="X184" i="8"/>
  <c r="AA184" i="8" s="1"/>
  <c r="I23" i="5"/>
  <c r="K15" i="8"/>
  <c r="I47" i="5"/>
  <c r="I40" i="5"/>
  <c r="I7" i="5"/>
  <c r="I8" i="5"/>
  <c r="I10" i="5"/>
  <c r="I11" i="5"/>
  <c r="I14" i="5"/>
  <c r="AA106" i="8" l="1"/>
  <c r="AA104" i="8"/>
  <c r="AA86" i="8"/>
  <c r="AA85" i="8"/>
  <c r="Y178" i="8"/>
  <c r="Y170" i="8"/>
  <c r="Y162" i="8"/>
  <c r="Y154" i="8"/>
  <c r="Y146" i="8"/>
  <c r="Y138" i="8"/>
  <c r="Y130" i="8"/>
  <c r="Y122" i="8"/>
  <c r="Y114" i="8"/>
  <c r="Y105" i="8"/>
  <c r="Y96" i="8"/>
  <c r="Y88" i="8"/>
  <c r="Y177" i="8"/>
  <c r="Y169" i="8"/>
  <c r="Y161" i="8"/>
  <c r="Y153" i="8"/>
  <c r="Y145" i="8"/>
  <c r="Y137" i="8"/>
  <c r="Y129" i="8"/>
  <c r="Y121" i="8"/>
  <c r="Y113" i="8"/>
  <c r="Y103" i="8"/>
  <c r="Y95" i="8"/>
  <c r="Y87" i="8"/>
  <c r="Y184" i="8"/>
  <c r="Y176" i="8"/>
  <c r="Y168" i="8"/>
  <c r="Y160" i="8"/>
  <c r="Y152" i="8"/>
  <c r="Y144" i="8"/>
  <c r="Y136" i="8"/>
  <c r="Y128" i="8"/>
  <c r="Y120" i="8"/>
  <c r="Y112" i="8"/>
  <c r="Y102" i="8"/>
  <c r="Y94" i="8"/>
  <c r="Y84" i="8"/>
  <c r="Y183" i="8"/>
  <c r="Y175" i="8"/>
  <c r="Y167" i="8"/>
  <c r="Y159" i="8"/>
  <c r="Y151" i="8"/>
  <c r="Y143" i="8"/>
  <c r="Y135" i="8"/>
  <c r="Y127" i="8"/>
  <c r="Y119" i="8"/>
  <c r="Y111" i="8"/>
  <c r="Y101" i="8"/>
  <c r="Y93" i="8"/>
  <c r="Y83" i="8"/>
  <c r="Y182" i="8"/>
  <c r="Y174" i="8"/>
  <c r="Y166" i="8"/>
  <c r="Y158" i="8"/>
  <c r="Y150" i="8"/>
  <c r="Y142" i="8"/>
  <c r="Y134" i="8"/>
  <c r="Y126" i="8"/>
  <c r="Y118" i="8"/>
  <c r="Y110" i="8"/>
  <c r="Y100" i="8"/>
  <c r="Y92" i="8"/>
  <c r="Y82" i="8"/>
  <c r="Y181" i="8"/>
  <c r="Y173" i="8"/>
  <c r="Y165" i="8"/>
  <c r="Y157" i="8"/>
  <c r="Y149" i="8"/>
  <c r="Y141" i="8"/>
  <c r="Y133" i="8"/>
  <c r="Y125" i="8"/>
  <c r="Y117" i="8"/>
  <c r="Y109" i="8"/>
  <c r="Y99" i="8"/>
  <c r="Y91" i="8"/>
  <c r="Y81" i="8"/>
  <c r="Y180" i="8"/>
  <c r="Y172" i="8"/>
  <c r="Y164" i="8"/>
  <c r="Y156" i="8"/>
  <c r="Y148" i="8"/>
  <c r="Y140" i="8"/>
  <c r="Y132" i="8"/>
  <c r="Y124" i="8"/>
  <c r="Y116" i="8"/>
  <c r="Y108" i="8"/>
  <c r="Y98" i="8"/>
  <c r="Y90" i="8"/>
  <c r="Y80" i="8"/>
  <c r="Y179" i="8"/>
  <c r="Y171" i="8"/>
  <c r="Y163" i="8"/>
  <c r="Y155" i="8"/>
  <c r="Y147" i="8"/>
  <c r="Y139" i="8"/>
  <c r="Y131" i="8"/>
  <c r="Y123" i="8"/>
  <c r="Y115" i="8"/>
  <c r="Y107" i="8"/>
  <c r="Y97" i="8"/>
  <c r="Y89" i="8"/>
  <c r="Y79" i="8"/>
  <c r="I50" i="5"/>
  <c r="I51" i="5"/>
  <c r="I52" i="5"/>
  <c r="I53" i="5"/>
  <c r="I39" i="5"/>
  <c r="I15" i="5"/>
  <c r="I16" i="5"/>
  <c r="I17" i="5"/>
  <c r="I18" i="5"/>
  <c r="I19" i="5"/>
  <c r="I21" i="5"/>
  <c r="I22" i="5"/>
  <c r="I24" i="5"/>
  <c r="I25" i="5"/>
  <c r="I26" i="5"/>
  <c r="I27" i="5"/>
  <c r="I28" i="5"/>
  <c r="I29" i="5"/>
  <c r="I30" i="5"/>
  <c r="I32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36" i="5"/>
  <c r="I37" i="5"/>
  <c r="I38" i="5"/>
  <c r="I6" i="5"/>
  <c r="I9" i="5"/>
  <c r="I41" i="5"/>
  <c r="I42" i="5"/>
  <c r="I43" i="5"/>
  <c r="I48" i="5"/>
  <c r="I49" i="5"/>
  <c r="I109" i="5"/>
  <c r="I110" i="5"/>
  <c r="I111" i="5"/>
  <c r="I34" i="5"/>
  <c r="I35" i="5"/>
  <c r="I44" i="5"/>
  <c r="I45" i="5"/>
  <c r="I46" i="5"/>
  <c r="I20" i="5"/>
  <c r="X186" i="8" l="1"/>
  <c r="I4" i="5"/>
  <c r="E13" i="8" s="1"/>
  <c r="E15" i="8" s="1"/>
  <c r="K17" i="8" s="1"/>
  <c r="M1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tc={C8514ECC-EB6C-41CA-A910-F228DCD546FA}</author>
    <author>tc={09AD2891-7FF5-427C-A9A0-87E85A6F2977}</author>
    <author>tc={D48EB0B5-E1EE-4328-A950-46CC6FF585E1}</author>
    <author>tc={2E928730-5CFE-4B6E-A4B3-7DD08DF50569}</author>
  </authors>
  <commentList>
    <comment ref="C13" authorId="0" shapeId="0" xr:uid="{C8514ECC-EB6C-41CA-A910-F228DCD546F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KG = Quilos
Obs.: Preencher na aba MATERIAIS as quantidades!</t>
      </text>
    </comment>
    <comment ref="I13" authorId="1" shapeId="0" xr:uid="{09AD2891-7FF5-427C-A9A0-87E85A6F297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Obs.: Apontar a quantidade de metros em que o material foi arrastado.</t>
      </text>
    </comment>
    <comment ref="C15" authorId="2" shapeId="0" xr:uid="{D48EB0B5-E1EE-4328-A950-46CC6FF585E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 = Toneladas
O peso transformado em tonelada pois o serviço é calculado com essas variáveis.
T / KM</t>
      </text>
    </comment>
    <comment ref="C17" authorId="3" shapeId="0" xr:uid="{2E928730-5CFE-4B6E-A4B3-7DD08DF505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Descrição serviço conforme SAP: ARRASTAR MATERIAL DE FORMA MANUAL. INCLUI: ARRASTAR POSTES E/OU MATERIAIS DE FORMA MANUAL, DE MODO A PERMITIR QUE OS MESMOS ALCANCEM
 O LOCAL DE APLICACAO NA OBRA. ESSA ATIVIDADE SERA APLICADA SE O LOCAL DE ACESSO A OBRA NAO TEM CONDICOES DA UTILIZACAO DE VEICULOS.
 A FISCALIZACAO DEVERA APROVAR O TIPO DE ARRASTAMENTO A SER UTILIZADO, QUE DEPENDERA DE FATORES COMO: TOPOGRAFIA E VEGETACAO DO TERR
ENO, QUANTIDADE DE MATERIAIS EM TONELADAS, DISTANCIA, DISPONIBILIDADE E OU VIABILIDADE NA UTILIZACAO DO MEIO MAIS ADEQUADO, LEVANDO
EM CONSIDERACAO O CUSTO E O TEMPO. A REMUNERACAO E CALCULADA POR TONELADAS X QUILÔMETROS. INVESTIMENTO: QUANDO ASSOCIADA A UC ESSA A
TIVIDADE DEVE SER APROPRIADA NA ODI. CUSTEIO: QUANDO EM ATIVIDADE DE MANUTENCAO, APROPRIAR NO CENTRO E CLASSE DE CUSTO ESPECIFICA DA
 AREA. TIPO DE TURMA: LINHA MORTA (LM</t>
      </text>
    </comment>
  </commentList>
</comments>
</file>

<file path=xl/sharedStrings.xml><?xml version="1.0" encoding="utf-8"?>
<sst xmlns="http://schemas.openxmlformats.org/spreadsheetml/2006/main" count="981" uniqueCount="248">
  <si>
    <t>MATERIAL</t>
  </si>
  <si>
    <t>DESC_MATERIAL</t>
  </si>
  <si>
    <t>FAMILIA</t>
  </si>
  <si>
    <t>TIPO</t>
  </si>
  <si>
    <t>CAIXA 1MED 1F POL 203X295X140MM VS VID</t>
  </si>
  <si>
    <t>CAIXA PDR</t>
  </si>
  <si>
    <t>COM</t>
  </si>
  <si>
    <t>ARRUELA QUAD AC ZC 38X38X3MM F Ø18MM</t>
  </si>
  <si>
    <t>MAT. COM</t>
  </si>
  <si>
    <t>FIO AC COBREAD LCA 9AWG(6MM²) 40% AT</t>
  </si>
  <si>
    <t>KG</t>
  </si>
  <si>
    <t>ALCA PREF SERV CA CB MULTI NN 10MM² PT</t>
  </si>
  <si>
    <t>DISJ TERMOMAG 1P 20A 220/380V 3KA</t>
  </si>
  <si>
    <t>POSTE MET QD PAD AC ZC 70X70X5000MM</t>
  </si>
  <si>
    <t>POSTE PDR ACO</t>
  </si>
  <si>
    <t>UC</t>
  </si>
  <si>
    <t>POSTE MET QD PAD AC ZC 70X70X7000MM</t>
  </si>
  <si>
    <t>BLOCO CONC</t>
  </si>
  <si>
    <t>COND ISOLADO</t>
  </si>
  <si>
    <t>COND NU</t>
  </si>
  <si>
    <t>CORDOALHA ACO 3/8" SM CLB 3160KGF</t>
  </si>
  <si>
    <t>CORDOALHA</t>
  </si>
  <si>
    <t>CRUZETA T CONC 1900MM F19MM 200DAN</t>
  </si>
  <si>
    <t>CRUZETA</t>
  </si>
  <si>
    <t>HASTE ANC AC ZC 16X2400MM 90MM 5000DAN</t>
  </si>
  <si>
    <t>HASTE ANCORA</t>
  </si>
  <si>
    <t>ISOLADOR MT</t>
  </si>
  <si>
    <t>ISOLAD BAST ANC POL 13,8KV 465MM GO NP V</t>
  </si>
  <si>
    <t>FITA IS ANTICH PVC 750V 19MMX20M PT</t>
  </si>
  <si>
    <t>SAPATILHA PESAD AC GF 9,5MM 3160DAN</t>
  </si>
  <si>
    <t>ALCA PREF ESTAI AC 9,5MM(3/8) HS/SM LR</t>
  </si>
  <si>
    <t>PARAFUSO CAB QUAD AC ZC M16X300MM</t>
  </si>
  <si>
    <t>PORCA QUAD AC ZC 13X24MM ROSC M16X2</t>
  </si>
  <si>
    <t>ARRUELA QUAD AC ZC 100X100X5MM F Ø18MM</t>
  </si>
  <si>
    <t>ABRACADEIRA CINT 7,6X250MM NYL 6.6 PT</t>
  </si>
  <si>
    <t>MANILHA SAPAT AC ZC 34X20X110MM 5000DAN</t>
  </si>
  <si>
    <t>GANCHO OLHAL AC ZC 21X80MM 5000DAN</t>
  </si>
  <si>
    <t>PARAFUSO OLH AC FJ ZC M16X200MM</t>
  </si>
  <si>
    <t>CHAPA ESTAI 45º AC ZC 8X60X70X76MM 18MMF</t>
  </si>
  <si>
    <t>CHAPA ANC ESTAI AC ZC 320X320X60MM</t>
  </si>
  <si>
    <t>ISOLADOR CAST PORC 85X90MM FURO 20MM</t>
  </si>
  <si>
    <t>POSTE RD</t>
  </si>
  <si>
    <t>POSTE DT CONC B 11M 300DAN</t>
  </si>
  <si>
    <t>TRAFO DT 1F 13,8KV FF 10KVA 220V</t>
  </si>
  <si>
    <t>TRAFO</t>
  </si>
  <si>
    <t>BLOCO CONC ESTAI 100X200X800MM</t>
  </si>
  <si>
    <t>CABO IS CU MOL 10MM² 0,6/1KV PVC PT CL5</t>
  </si>
  <si>
    <t>CABO ISOLADO</t>
  </si>
  <si>
    <t>CABO IS CU MDURO 35MM² 1KV XLPE PT CL2</t>
  </si>
  <si>
    <t>MUTANTE</t>
  </si>
  <si>
    <t>CABO IS CU MDURO 16MM2 1KV XLPE PT CL2</t>
  </si>
  <si>
    <t>CABO NU CU MDURO 16MM² 7F CL2A</t>
  </si>
  <si>
    <t>CABO NU</t>
  </si>
  <si>
    <t>CHAVE FUS C PORC 13,8KV 100A 110KV SUP</t>
  </si>
  <si>
    <t>CH FUS</t>
  </si>
  <si>
    <t>CABO 4PLEX CAL 35+35MM² 0,6/1KV COL NN</t>
  </si>
  <si>
    <t>CABO AL NU CA 1/0AWG POPPY</t>
  </si>
  <si>
    <t>CABO AL NU CAA 1/0 AWG RAVEN</t>
  </si>
  <si>
    <t>HASTE AT SPL AC/CU 5/8" 2400MM 254MI</t>
  </si>
  <si>
    <t>HASTE ATERR</t>
  </si>
  <si>
    <t>ISOLADOR PILAR PORC 15KV P60 M16 800DAN</t>
  </si>
  <si>
    <t>ELO FUS DT 2A H 500MM</t>
  </si>
  <si>
    <t>CONECT DER PERF POL/CU 120X25-120MM 1KV</t>
  </si>
  <si>
    <t>CONECT DER PERF POL/CU 16-95X4-35MM² 1KV</t>
  </si>
  <si>
    <t>FITA IS AUTOFUS EPR 69kV 19MMX10M PT</t>
  </si>
  <si>
    <t>ARMACAO SEC 1EST AC ZC 110X16X150MM</t>
  </si>
  <si>
    <t>PINO ISOL PIL AUTOTV AC ZC 168,5MM M16X2</t>
  </si>
  <si>
    <t>PARAFUSO CAB ABAUL ACO 16X45MM ROSC TOT</t>
  </si>
  <si>
    <t>PARAFUSO CAB QUAD AC ZC M16X200MM</t>
  </si>
  <si>
    <t>PARAFUSO CAB QUAD AC ZC M16X250MM</t>
  </si>
  <si>
    <t>PARAFUSO CAB QUAD AC ZC M16X400MM</t>
  </si>
  <si>
    <t>PARAFUSO OLH AC M16 X 400MM</t>
  </si>
  <si>
    <t>PARAFUSO OLHAL ACO M16 X 300MM</t>
  </si>
  <si>
    <t>PORCA OLH AC ZC 38X45X16MM 5000DAN</t>
  </si>
  <si>
    <t>FITA AMAR LIS AC INOX 0,5X19MM</t>
  </si>
  <si>
    <t>PARAFUSO OLHAL ACO M16 X 250MM</t>
  </si>
  <si>
    <t>FECHO FIT AMAR AC INOX 18X1,0MM 24MM</t>
  </si>
  <si>
    <t>FIO AC COBREAD LCA 16MM² 40% AT</t>
  </si>
  <si>
    <t>CONECT CUN RAM CU/EST TIPO "I" CZ</t>
  </si>
  <si>
    <t>CONECT CUN RAM ESTANHADO TIPO II VD</t>
  </si>
  <si>
    <t>CONECT CUN RAM CU/EST TIPO VII BR/VM</t>
  </si>
  <si>
    <t>ISOLADOR ROLD PORC 80/70MM F19</t>
  </si>
  <si>
    <t>CONECT CUN D CN10 AL 8-14X4,1-11,7 AZ</t>
  </si>
  <si>
    <t>CONECT CUN D CN12 AL 5-8X4,1-6,5MM VM</t>
  </si>
  <si>
    <t>CONECT CUN D CN13 AL 6-10,1X5-8,3MM VM</t>
  </si>
  <si>
    <t>CONECT CUN DER EST LAT CU 4-2AWG VM</t>
  </si>
  <si>
    <t>CONECT CUN DER EST LAT CU 1/0-2/0AWG AZ</t>
  </si>
  <si>
    <t>CONECT CUN D EST NORMAL 1/0-2/0 EST 2 AZ</t>
  </si>
  <si>
    <t>CONECTOR TERM CP RT AL CB/BAR 1/0AWG/2N</t>
  </si>
  <si>
    <t>ALCA PREF DT CA/CAA 1/0AWG 9,15-10,25 AM</t>
  </si>
  <si>
    <t>ALCA PREF DT CA/CAA 2AWG 7,30-8,20 VM</t>
  </si>
  <si>
    <t>ALCA PREF DT CA/CAA 4AWG 5,70-6,45 LR</t>
  </si>
  <si>
    <t>LACO PREF LAT DP AC CA/CAA 1/0AWG P60 AM</t>
  </si>
  <si>
    <t>LACO PREF ROLD AC CA/CAL 2AWG/35MM² VM</t>
  </si>
  <si>
    <t>LACO PREF TOPO AC CA/CAA 1/0AWG P60 AM</t>
  </si>
  <si>
    <t>CONEC TERM COMP CU RT CB-BR 2N 16MM²</t>
  </si>
  <si>
    <t>TERMINAL ANEL/OLH TB CU 1F/1C 10MM VM</t>
  </si>
  <si>
    <t>ALCA PREF SERV CONCENT 1X10+10MM² AM</t>
  </si>
  <si>
    <t>ALCA PREF SERV CA CB MULTI NN 16MM² BR</t>
  </si>
  <si>
    <t>CONECT CUN ATER CB/HT CU 6-16MM²</t>
  </si>
  <si>
    <t>SUPORTE MET TRAFO POST DT AC 8X100X490</t>
  </si>
  <si>
    <t>SUPORTE MET "T" FIX CHAV FUS 540X50X10MM</t>
  </si>
  <si>
    <t>GRAMPO L/V P 6~4/0AWG D 8~2/0 ROSCA GRAF</t>
  </si>
  <si>
    <t>PARA-RAIOS BT ZNO 280V 20KA POLIM RD IS</t>
  </si>
  <si>
    <t>PARA RAIO BT</t>
  </si>
  <si>
    <t>PARA-RAIOS DT POL 12KV 10KA VN 13,8 KV</t>
  </si>
  <si>
    <t>PARA RAIO MT</t>
  </si>
  <si>
    <t>PLACA IDENT AL ESC ALT RELV 400X50X0,8MM</t>
  </si>
  <si>
    <t>PLACA IDENT</t>
  </si>
  <si>
    <t>POSTE CIRC TOP/QUAD PRFV 9M 300DAN</t>
  </si>
  <si>
    <t>POSTE CIRC TP/QUAD PRFV 12M 300DAN</t>
  </si>
  <si>
    <t>POSTE DT B 9M 300DAN CONC</t>
  </si>
  <si>
    <t>POSTE DT B 12M 300DAN CONC</t>
  </si>
  <si>
    <t>TRAFO DT 3F 13,8KV 45KVA 380/220V</t>
  </si>
  <si>
    <t>TRAFO DT 1F 13,8KV FN 15KVA 220V</t>
  </si>
  <si>
    <t>PARAFUSO CAB ABAUL FEND 4,8X13MM SOBERB</t>
  </si>
  <si>
    <t>TERMINAL ILH TB CPS CU 10MM² ISOL VM</t>
  </si>
  <si>
    <t>LACRE SEG PECA UNICA PC CZ/FM 160MM 2F</t>
  </si>
  <si>
    <t>MED ELETN 3F 4FI 3E 15A MED KWH</t>
  </si>
  <si>
    <t>MEDIDOR</t>
  </si>
  <si>
    <t>MED ELETN 1F 2FI 1EL 240V AT MAX LED</t>
  </si>
  <si>
    <t>CABO CONC AL 1X10MM² 0,6/1KV XLPE PT</t>
  </si>
  <si>
    <t>RAMAL</t>
  </si>
  <si>
    <t>CABO 2PLEX CA 10+10MM² 0,6/1KV PT NN</t>
  </si>
  <si>
    <t>CABO 4PLEX CA 16+16MM² 0,6/1KV COL NN</t>
  </si>
  <si>
    <t>QTD</t>
  </si>
  <si>
    <t>TOTAL</t>
  </si>
  <si>
    <t>PESO</t>
  </si>
  <si>
    <t>G</t>
  </si>
  <si>
    <t>EVIDÊNCIA 1</t>
  </si>
  <si>
    <t>EVIDÊNCIA 2</t>
  </si>
  <si>
    <t>EVIDÊNCIA 3</t>
  </si>
  <si>
    <t>EVIDÊNCIA 4</t>
  </si>
  <si>
    <t>EVIDÊNCIA 5</t>
  </si>
  <si>
    <t>EVIDÊNCIA 6</t>
  </si>
  <si>
    <t>EVIDÊNCIA 7</t>
  </si>
  <si>
    <t>EVIDÊNCIA 8</t>
  </si>
  <si>
    <t>POSTE CIRC TOP/QUAD PRFV 10M 300DAN</t>
  </si>
  <si>
    <t>POSTE CIRC TP/QUAD PRFV 11M 300DAN</t>
  </si>
  <si>
    <t>POSTE CIRC TOP/QUAD PRFV 11M 600DAN</t>
  </si>
  <si>
    <t>POSTE CIRC TP/QUAD PRFV 12M 600DAN</t>
  </si>
  <si>
    <t>CRUZETA T POL FN 90X90X1900MM 200DAN</t>
  </si>
  <si>
    <t>UMB</t>
  </si>
  <si>
    <t>PESO EM KG</t>
  </si>
  <si>
    <t>ARRASTO EM KM</t>
  </si>
  <si>
    <t>DADOS OBRA</t>
  </si>
  <si>
    <t>PEP:</t>
  </si>
  <si>
    <t>Reserva:</t>
  </si>
  <si>
    <t>PESO EM T</t>
  </si>
  <si>
    <t>ARRASTO EM M</t>
  </si>
  <si>
    <t>CABO 4PLEX CAL 70+70MM² 0,6~1KV COL NN</t>
  </si>
  <si>
    <t>FATOR</t>
  </si>
  <si>
    <t>VALOR R$</t>
  </si>
  <si>
    <t>EVIDENCIAS</t>
  </si>
  <si>
    <t>DADOS PESO MATERIAIS E ARRASTO</t>
  </si>
  <si>
    <t>SELECIONAR MATERIAIS ARRASTADO</t>
  </si>
  <si>
    <t>PREÇO UNIT</t>
  </si>
  <si>
    <t>&amp;&amp;</t>
  </si>
  <si>
    <t>Coluna1</t>
  </si>
  <si>
    <t>MATERIAIS ARRASTADOS</t>
  </si>
  <si>
    <t>QTD A COBRAR</t>
  </si>
  <si>
    <t>MEMÓRIA DE CÁLCULO ARRASTO DE MATERIAIS</t>
  </si>
  <si>
    <t>PRESIDENTE DUTRA</t>
  </si>
  <si>
    <t>DESCRIÇÃO OBRA:</t>
  </si>
  <si>
    <t>NOTA</t>
  </si>
  <si>
    <t>CIDADE:</t>
  </si>
  <si>
    <t>DISTRITAL:</t>
  </si>
  <si>
    <t>DISTRITAL</t>
  </si>
  <si>
    <t>ALTAMIRA DO MARANHAO</t>
  </si>
  <si>
    <t>BACABAL</t>
  </si>
  <si>
    <t>ALTO ALEGRE DO MARANHAO</t>
  </si>
  <si>
    <t>ALTO ALEGRE DO PINDARE</t>
  </si>
  <si>
    <t>SANTA INES</t>
  </si>
  <si>
    <t>ANAJATUBA</t>
  </si>
  <si>
    <t>ITAPECURU MIRIM</t>
  </si>
  <si>
    <t>ARAGUANA</t>
  </si>
  <si>
    <t>ARARI</t>
  </si>
  <si>
    <t>BARRA DO CORDA</t>
  </si>
  <si>
    <t>BELA VISTA DO MARANHAO</t>
  </si>
  <si>
    <t>BERNARDO DO MEARIM</t>
  </si>
  <si>
    <t>PEDREIRAS</t>
  </si>
  <si>
    <t>BOM JARDIM</t>
  </si>
  <si>
    <t>BOM LUGAR</t>
  </si>
  <si>
    <t>BREJO DE AREIA</t>
  </si>
  <si>
    <t>CANTANHEDE</t>
  </si>
  <si>
    <t>CAPINZAL DO NORTE</t>
  </si>
  <si>
    <t>CONCEICAO DO LAGO ACU</t>
  </si>
  <si>
    <t>COROATA</t>
  </si>
  <si>
    <t>DOM PEDRO</t>
  </si>
  <si>
    <t>ESPERANTINOPOLIS</t>
  </si>
  <si>
    <t>FERNANDO FALCAO</t>
  </si>
  <si>
    <t>FORTUNA</t>
  </si>
  <si>
    <t>GONCALVES DIAS</t>
  </si>
  <si>
    <t>GOVERNADOR ARCHER</t>
  </si>
  <si>
    <t>GOV. EUGENIO BARROS</t>
  </si>
  <si>
    <t>GOVERNADOR LUIZ ROCHA</t>
  </si>
  <si>
    <t>GOVERNADOR NEWTON BELLO</t>
  </si>
  <si>
    <t>GRACA ARANHA</t>
  </si>
  <si>
    <t>IGARAPE DO MEIO</t>
  </si>
  <si>
    <t>IGARAPE GRANDE</t>
  </si>
  <si>
    <t>JENIPAPO DOS VIEIRAS</t>
  </si>
  <si>
    <t>JOSELANDIA</t>
  </si>
  <si>
    <t>LAGO DA PEDRA</t>
  </si>
  <si>
    <t>LAGO DO JUNCO</t>
  </si>
  <si>
    <t>LAGO DOS RODRIGUES</t>
  </si>
  <si>
    <t>LAGO VERDE</t>
  </si>
  <si>
    <t>LAGOA GRANDE DO MARANHAO</t>
  </si>
  <si>
    <t>LIMA CAMPOS</t>
  </si>
  <si>
    <t>MARAJA DO SENA</t>
  </si>
  <si>
    <t>MATOES DO NORTE</t>
  </si>
  <si>
    <t>MIRANDA DO NORTE</t>
  </si>
  <si>
    <t>MONCAO</t>
  </si>
  <si>
    <t>NINA RODRIGUES</t>
  </si>
  <si>
    <t>OLHO D'AGUA DAS CUNHAS</t>
  </si>
  <si>
    <t>PAULO RAMOS</t>
  </si>
  <si>
    <t>PERITORO</t>
  </si>
  <si>
    <t>PINDARE MIRIM</t>
  </si>
  <si>
    <t>PIO XII</t>
  </si>
  <si>
    <t>PIRAPEMAS</t>
  </si>
  <si>
    <t>POCAO DE PEDRAS</t>
  </si>
  <si>
    <t>PRESIDENTE VARGAS</t>
  </si>
  <si>
    <t>SANTA FILOMENA DO MARANHAO</t>
  </si>
  <si>
    <t>SANTA LUZIA DO TIDE</t>
  </si>
  <si>
    <t>SANTO ANTONIO DOS LOPES</t>
  </si>
  <si>
    <t>SAO DOMINGOS DO MARANHAO</t>
  </si>
  <si>
    <t>SAO JOAO DO CARU</t>
  </si>
  <si>
    <t>SAO JOSE DOS BASILIOS</t>
  </si>
  <si>
    <t>SAO LUIS GONZAGA DO MA</t>
  </si>
  <si>
    <t>SAO MATEUS DO MARANHAO</t>
  </si>
  <si>
    <t>SAO RAIMUNDO DO DOCA BEZERRA</t>
  </si>
  <si>
    <t>SAO ROBERTO</t>
  </si>
  <si>
    <t>SATUBINHA</t>
  </si>
  <si>
    <t>SENADOR ALEXANDRE COSTA</t>
  </si>
  <si>
    <t>TRIZIDELA DO VALE</t>
  </si>
  <si>
    <t>TUFILANDIA</t>
  </si>
  <si>
    <t>TUNTUM</t>
  </si>
  <si>
    <t>VARGEM GRANDE</t>
  </si>
  <si>
    <t>VITORIA DO MEARIM</t>
  </si>
  <si>
    <t>VITORINO FREIRE</t>
  </si>
  <si>
    <t>ZE DOCA</t>
  </si>
  <si>
    <t>SANTA_INES</t>
  </si>
  <si>
    <t>PRESIDENTE_DUTRA</t>
  </si>
  <si>
    <t>ITAPECURU_MIRIM</t>
  </si>
  <si>
    <t>PESO TOTAL</t>
  </si>
  <si>
    <t>POSTE CIRC TOP/QUAD PRFV 9M 600DAN</t>
  </si>
  <si>
    <t>POSTE CIRC TP/QUAD PRFV 13M 1000DAN</t>
  </si>
  <si>
    <t>ISOLADOR PILAR PORC 36KV P60 M16 800DAN</t>
  </si>
  <si>
    <t>ISOL POLIM SUSP GARFO-OLHAL 36,2kV NP 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</si>
</sst>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5" x14ac:knownFonts="1">
    <font>
      <sz val="11"/>
      <color rgb="FF000000"/>
      <name val="Calibri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b/>
      <sz val="12"/>
      <color rgb="FF000000"/>
      <name val="Aptos Narrow"/>
      <family val="2"/>
    </font>
    <font>
      <b/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color rgb="FFA0A0A0"/>
      <name val="Aptos Narrow"/>
      <family val="2"/>
    </font>
    <font>
      <b/>
      <sz val="12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rgb="FFFFFFFF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2" fillId="0" borderId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 hidden="1"/>
    </xf>
    <xf numFmtId="0" fontId="5" fillId="0" borderId="0" xfId="0" applyFont="1"/>
    <xf numFmtId="0" fontId="5" fillId="0" borderId="16" xfId="0" applyFont="1" applyBorder="1"/>
    <xf numFmtId="0" fontId="5" fillId="0" borderId="17" xfId="0" applyFont="1" applyBorder="1"/>
    <xf numFmtId="0" fontId="5" fillId="0" borderId="18" xfId="0" applyFont="1" applyBorder="1"/>
    <xf numFmtId="0" fontId="5" fillId="0" borderId="19" xfId="0" applyFont="1" applyBorder="1"/>
    <xf numFmtId="0" fontId="5" fillId="0" borderId="20" xfId="0" applyFont="1" applyBorder="1"/>
    <xf numFmtId="0" fontId="5" fillId="0" borderId="21" xfId="0" applyFont="1" applyBorder="1"/>
    <xf numFmtId="0" fontId="7" fillId="3" borderId="15" xfId="0" applyFont="1" applyFill="1" applyBorder="1" applyAlignment="1">
      <alignment horizontal="left"/>
    </xf>
    <xf numFmtId="0" fontId="7" fillId="3" borderId="15" xfId="0" applyFont="1" applyFill="1" applyBorder="1"/>
    <xf numFmtId="0" fontId="8" fillId="0" borderId="15" xfId="0" applyFont="1" applyBorder="1" applyAlignment="1" applyProtection="1">
      <alignment horizontal="center"/>
      <protection locked="0"/>
    </xf>
    <xf numFmtId="0" fontId="9" fillId="0" borderId="0" xfId="2" applyFont="1"/>
    <xf numFmtId="0" fontId="7" fillId="0" borderId="0" xfId="0" applyFont="1"/>
    <xf numFmtId="0" fontId="8" fillId="0" borderId="15" xfId="0" applyFont="1" applyBorder="1" applyAlignment="1">
      <alignment horizontal="center"/>
    </xf>
    <xf numFmtId="0" fontId="7" fillId="3" borderId="3" xfId="0" applyFont="1" applyFill="1" applyBorder="1" applyAlignment="1">
      <alignment horizontal="left"/>
    </xf>
    <xf numFmtId="44" fontId="5" fillId="0" borderId="3" xfId="0" applyNumberFormat="1" applyFont="1" applyBorder="1"/>
    <xf numFmtId="0" fontId="10" fillId="3" borderId="4" xfId="0" applyFont="1" applyFill="1" applyBorder="1" applyAlignment="1">
      <alignment vertical="center" textRotation="255"/>
    </xf>
    <xf numFmtId="0" fontId="5" fillId="0" borderId="0" xfId="0" applyFont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3" fillId="0" borderId="0" xfId="0" applyFont="1"/>
    <xf numFmtId="0" fontId="12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11" fillId="3" borderId="11" xfId="0" applyFont="1" applyFill="1" applyBorder="1" applyAlignment="1">
      <alignment vertical="center" textRotation="255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14" fillId="3" borderId="8" xfId="0" applyFont="1" applyFill="1" applyBorder="1" applyAlignment="1">
      <alignment horizontal="center" vertical="center" textRotation="255"/>
    </xf>
    <xf numFmtId="0" fontId="7" fillId="3" borderId="1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44" fontId="8" fillId="0" borderId="3" xfId="0" applyNumberFormat="1" applyFont="1" applyBorder="1" applyAlignment="1">
      <alignment horizontal="center"/>
    </xf>
    <xf numFmtId="44" fontId="8" fillId="0" borderId="2" xfId="0" applyNumberFormat="1" applyFont="1" applyBorder="1" applyAlignment="1">
      <alignment horizontal="center"/>
    </xf>
    <xf numFmtId="44" fontId="8" fillId="0" borderId="1" xfId="0" applyNumberFormat="1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7" fillId="3" borderId="1" xfId="0" applyFont="1" applyFill="1" applyBorder="1" applyAlignment="1">
      <alignment horizontal="left"/>
    </xf>
    <xf numFmtId="0" fontId="7" fillId="3" borderId="2" xfId="0" applyFont="1" applyFill="1" applyBorder="1" applyAlignment="1">
      <alignment horizontal="left"/>
    </xf>
    <xf numFmtId="0" fontId="8" fillId="0" borderId="1" xfId="1" applyNumberFormat="1" applyFont="1" applyBorder="1" applyAlignment="1">
      <alignment horizontal="center"/>
    </xf>
    <xf numFmtId="0" fontId="8" fillId="0" borderId="3" xfId="1" applyNumberFormat="1" applyFont="1" applyBorder="1" applyAlignment="1">
      <alignment horizontal="center"/>
    </xf>
    <xf numFmtId="0" fontId="8" fillId="0" borderId="2" xfId="1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5" fillId="0" borderId="3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8" fillId="0" borderId="1" xfId="1" applyNumberFormat="1" applyFont="1" applyBorder="1" applyAlignment="1" applyProtection="1">
      <alignment horizontal="center"/>
      <protection locked="0"/>
    </xf>
    <xf numFmtId="0" fontId="8" fillId="0" borderId="3" xfId="1" applyNumberFormat="1" applyFont="1" applyBorder="1" applyAlignment="1" applyProtection="1">
      <alignment horizontal="center"/>
      <protection locked="0"/>
    </xf>
    <xf numFmtId="0" fontId="8" fillId="0" borderId="2" xfId="1" applyNumberFormat="1" applyFont="1" applyBorder="1" applyAlignment="1" applyProtection="1">
      <alignment horizontal="center"/>
      <protection locked="0"/>
    </xf>
    <xf numFmtId="0" fontId="5" fillId="0" borderId="1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3" fillId="0" borderId="0" xfId="0" applyFont="1" applyAlignment="1" applyProtection="1">
      <alignment horizontal="center" vertical="center"/>
      <protection hidden="1"/>
    </xf>
  </cellXfs>
  <cellStyles count="3">
    <cellStyle name="Normal" xfId="0" builtinId="0"/>
    <cellStyle name="Normal 2" xfId="2" xr:uid="{D82277D1-4EBC-412B-B811-D313FC9B7D5A}"/>
    <cellStyle name="Vírgula" xfId="1" builtinId="3"/>
  </cellStyles>
  <dxfs count="26">
    <dxf>
      <alignment horizontal="center" vertical="center" textRotation="0" wrapText="0" indent="0" justifyLastLine="0" shrinkToFit="0" readingOrder="0"/>
      <protection locked="1" hidden="1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660033"/>
        </patternFill>
      </fill>
      <alignment horizontal="center" vertical="center" textRotation="0" wrapText="0" indent="0" justifyLastLine="0" shrinkToFit="0" readingOrder="0"/>
      <protection locked="0" hidden="1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66003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colors>
    <mruColors>
      <color rgb="FFA0A0A0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2</xdr:row>
      <xdr:rowOff>41065</xdr:rowOff>
    </xdr:from>
    <xdr:to>
      <xdr:col>4</xdr:col>
      <xdr:colOff>153804</xdr:colOff>
      <xdr:row>3</xdr:row>
      <xdr:rowOff>217170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2050" y="717340"/>
          <a:ext cx="1057275" cy="4351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99060</xdr:rowOff>
        </xdr:from>
        <xdr:to>
          <xdr:col>3</xdr:col>
          <xdr:colOff>342900</xdr:colOff>
          <xdr:row>0</xdr:row>
          <xdr:rowOff>426720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295275</xdr:colOff>
      <xdr:row>74</xdr:row>
      <xdr:rowOff>31540</xdr:rowOff>
    </xdr:from>
    <xdr:ext cx="1057275" cy="435185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48775" y="13109365"/>
          <a:ext cx="1057275" cy="43518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20</xdr:row>
          <xdr:rowOff>160020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449580</xdr:colOff>
          <xdr:row>0</xdr:row>
          <xdr:rowOff>99060</xdr:rowOff>
        </xdr:from>
        <xdr:to>
          <xdr:col>5</xdr:col>
          <xdr:colOff>403860</xdr:colOff>
          <xdr:row>0</xdr:row>
          <xdr:rowOff>426720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99060</xdr:rowOff>
        </xdr:from>
        <xdr:to>
          <xdr:col>7</xdr:col>
          <xdr:colOff>449580</xdr:colOff>
          <xdr:row>0</xdr:row>
          <xdr:rowOff>426720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31</xdr:row>
          <xdr:rowOff>30480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20</xdr:row>
          <xdr:rowOff>160020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30480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33</xdr:row>
          <xdr:rowOff>60960</xdr:rowOff>
        </xdr:from>
        <xdr:to>
          <xdr:col>3</xdr:col>
          <xdr:colOff>0</xdr:colOff>
          <xdr:row>33</xdr:row>
          <xdr:rowOff>160020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30480</xdr:rowOff>
        </xdr:from>
        <xdr:to>
          <xdr:col>3</xdr:col>
          <xdr:colOff>0</xdr:colOff>
          <xdr:row>45</xdr:row>
          <xdr:rowOff>190500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60960</xdr:rowOff>
        </xdr:from>
        <xdr:to>
          <xdr:col>9</xdr:col>
          <xdr:colOff>0</xdr:colOff>
          <xdr:row>33</xdr:row>
          <xdr:rowOff>160020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44</xdr:row>
          <xdr:rowOff>30480</xdr:rowOff>
        </xdr:from>
        <xdr:to>
          <xdr:col>9</xdr:col>
          <xdr:colOff>0</xdr:colOff>
          <xdr:row>45</xdr:row>
          <xdr:rowOff>190500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46</xdr:row>
          <xdr:rowOff>0</xdr:rowOff>
        </xdr:from>
        <xdr:to>
          <xdr:col>3</xdr:col>
          <xdr:colOff>0</xdr:colOff>
          <xdr:row>46</xdr:row>
          <xdr:rowOff>160020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57</xdr:row>
          <xdr:rowOff>30480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46</xdr:row>
          <xdr:rowOff>160020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57</xdr:row>
          <xdr:rowOff>30480</xdr:rowOff>
        </xdr:from>
        <xdr:to>
          <xdr:col>9</xdr:col>
          <xdr:colOff>0</xdr:colOff>
          <xdr:row>58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59</xdr:row>
          <xdr:rowOff>0</xdr:rowOff>
        </xdr:from>
        <xdr:to>
          <xdr:col>3</xdr:col>
          <xdr:colOff>0</xdr:colOff>
          <xdr:row>59</xdr:row>
          <xdr:rowOff>160020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70</xdr:row>
          <xdr:rowOff>30480</xdr:rowOff>
        </xdr:from>
        <xdr:to>
          <xdr:col>3</xdr:col>
          <xdr:colOff>0</xdr:colOff>
          <xdr:row>71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59</xdr:row>
          <xdr:rowOff>0</xdr:rowOff>
        </xdr:from>
        <xdr:to>
          <xdr:col>9</xdr:col>
          <xdr:colOff>0</xdr:colOff>
          <xdr:row>59</xdr:row>
          <xdr:rowOff>160020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70</xdr:row>
          <xdr:rowOff>30480</xdr:rowOff>
        </xdr:from>
        <xdr:to>
          <xdr:col>9</xdr:col>
          <xdr:colOff>0</xdr:colOff>
          <xdr:row>71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28575</xdr:rowOff>
    </xdr:from>
    <xdr:to>
      <xdr:col>3</xdr:col>
      <xdr:colOff>180975</xdr:colOff>
      <xdr:row>3</xdr:row>
      <xdr:rowOff>142875</xdr:rowOff>
    </xdr:to>
    <xdr:pic>
      <xdr:nvPicPr>
        <xdr:cNvPr id="2" name="Imagem 5" descr="Logotipo&#10;&#10;Descrição gerada automaticamen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8575"/>
          <a:ext cx="17430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heus Helder" id="{AFEC1DBB-9837-4CC0-BFBB-2BB3CD9A7A86}" userId="Matheus Held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4C535-2EB0-4AE3-AA6A-45DC272CA96D}" name="Tabela1" displayName="Tabela1" ref="R78:AA184" totalsRowShown="0" headerRowDxfId="22" dataDxfId="21">
  <autoFilter ref="R78:AA184" xr:uid="{B494C535-2EB0-4AE3-AA6A-45DC272CA96D}"/>
  <tableColumns count="10">
    <tableColumn id="1" xr3:uid="{8A729645-B346-4993-88F1-2CAFDEA26C56}" name="FAMILIA" dataDxfId="20"/>
    <tableColumn id="2" xr3:uid="{FFE2F200-6445-4096-9C15-040F23963D06}" name="TIPO" dataDxfId="19"/>
    <tableColumn id="3" xr3:uid="{040A55D7-1E74-4F3E-B606-0BA9EDDF66CE}" name="MATERIAL" dataDxfId="18"/>
    <tableColumn id="4" xr3:uid="{F3799F3F-241E-49D7-A529-007213A33F8D}" name="DESC_MATERIAL" dataDxfId="17"/>
    <tableColumn id="5" xr3:uid="{9B360936-27D5-46ED-8BCC-68F87213EAF2}" name="UMB" dataDxfId="16"/>
    <tableColumn id="6" xr3:uid="{240CB026-476A-4E0F-AC70-7B07B5E387EE}" name="PESO" dataDxfId="15"/>
    <tableColumn id="7" xr3:uid="{88F311B1-F5A5-4211-BD6A-DB0B2AB3ADA6}" name="QTD" dataDxfId="14">
      <calculatedColumnFormula>SUMIFS(Tabela2[QTD],Tabela2[MATERIAL],Tabela1[[#This Row],[MATERIAL]])</calculatedColumnFormula>
    </tableColumn>
    <tableColumn id="10" xr3:uid="{E0AA1F65-5905-48D4-860A-14E168DFC0D8}" name="TOTAL" dataDxfId="13">
      <calculatedColumnFormula>Tabela1[[#This Row],[QTD]]*Tabela1[[#This Row],[PESO]]</calculatedColumnFormula>
    </tableColumn>
    <tableColumn id="9" xr3:uid="{BD616B98-D88E-4C6B-BFF1-76C0B0CD5D8D}" name="Coluna1" dataDxfId="12"/>
    <tableColumn id="8" xr3:uid="{EFEE8DB6-3D44-4F81-A7D4-49DB2A999CD0}" name="&amp;&amp;" dataDxfId="11">
      <calculatedColumnFormula>IF(Tabela1[[#This Row],[QTD]]=0,0,1)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D21CDF-DA84-4916-9BA2-F7C20BACCF0C}" name="Tabela2" displayName="Tabela2" ref="B5:I111" totalsRowShown="0" headerRowDxfId="9" dataDxfId="8">
  <autoFilter ref="B5:I111" xr:uid="{6FD21CDF-DA84-4916-9BA2-F7C20BACCF0C}"/>
  <tableColumns count="8">
    <tableColumn id="1" xr3:uid="{B369B398-1628-4AB8-A7E5-D2DDB3927CB9}" name="FAMILIA" dataDxfId="7"/>
    <tableColumn id="2" xr3:uid="{B85CE75F-5AD3-4F6B-935A-F90E132385A7}" name="TIPO" dataDxfId="6"/>
    <tableColumn id="3" xr3:uid="{84D2EC80-7ECC-4EAE-A55D-2732D8ED5665}" name="MATERIAL" dataDxfId="5"/>
    <tableColumn id="4" xr3:uid="{0ADE3DDF-AE18-4411-8611-6E385854D636}" name="Coluna1" dataDxfId="4"/>
    <tableColumn id="5" xr3:uid="{1D942A3F-E8A1-47CA-9743-E5415DFC61AD}" name="UMB" dataDxfId="3"/>
    <tableColumn id="6" xr3:uid="{BBCE156D-6850-4A6D-81CF-943C11B0A699}" name="PESO" dataDxfId="2"/>
    <tableColumn id="7" xr3:uid="{6AB94F96-144C-4D4E-B4F3-338EF8923688}" name="QTD" dataDxfId="1"/>
    <tableColumn id="8" xr3:uid="{AACF1462-424F-4AB1-98EE-A108CA66682F}" name="TOTAL" dataDxfId="0">
      <calculatedColumnFormula>H6*G6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3-10-09T19:31:43.61" personId="{AFEC1DBB-9837-4CC0-BFBB-2BB3CD9A7A86}" id="{C8514ECC-EB6C-41CA-A910-F228DCD546FA}">
    <text>KG = Quilos
Obs.: Preencher na aba MATERIAIS as quantidades!</text>
  </threadedComment>
  <threadedComment ref="I13" dT="2023-10-09T19:36:15.22" personId="{AFEC1DBB-9837-4CC0-BFBB-2BB3CD9A7A86}" id="{09AD2891-7FF5-427C-A9A0-87E85A6F2977}">
    <text>Obs.: Apontar a quantidade de metros em que o material foi arrastado.</text>
  </threadedComment>
  <threadedComment ref="C15" dT="2023-10-09T19:30:40.10" personId="{AFEC1DBB-9837-4CC0-BFBB-2BB3CD9A7A86}" id="{D48EB0B5-E1EE-4328-A950-46CC6FF585E1}">
    <text>T = Toneladas
O peso transformado em tonelada pois o serviço é calculado com essas variáveis.
T / KM</text>
  </threadedComment>
  <threadedComment ref="C17" dT="2023-10-09T19:54:59.53" personId="{AFEC1DBB-9837-4CC0-BFBB-2BB3CD9A7A86}" id="{2E928730-5CFE-4B6E-A4B3-7DD08DF50569}">
    <text>Descrição serviço conforme SAP: ARRASTAR MATERIAL DE FORMA MANUAL. INCLUI: ARRASTAR POSTES E/OU MATERIAIS DE FORMA MANUAL, DE MODO A PERMITIR QUE OS MESMOS ALCANCEM
 O LOCAL DE APLICACAO NA OBRA. ESSA ATIVIDADE SERA APLICADA SE O LOCAL DE ACESSO A OBRA NAO TEM CONDICOES DA UTILIZACAO DE VEICULOS.
 A FISCALIZACAO DEVERA APROVAR O TIPO DE ARRASTAMENTO A SER UTILIZADO, QUE DEPENDERA DE FATORES COMO: TOPOGRAFIA E VEGETACAO DO TERR
ENO, QUANTIDADE DE MATERIAIS EM TONELADAS, DISTANCIA, DISPONIBILIDADE E OU VIABILIDADE NA UTILIZACAO DO MEIO MAIS ADEQUADO, LEVANDO
EM CONSIDERACAO O CUSTO E O TEMPO. A REMUNERACAO E CALCULADA POR TONELADAS X QUILÔMETROS. INVESTIMENTO: QUANDO ASSOCIADA A UC ESSA A
TIVIDADE DEVE SER APROPRIADA NA ODI. CUSTEIO: QUANDO EM ATIVIDADE DE MANUTENCAO, APROPRIAR NO CENTRO E CLASSE DE CUSTO ESPECIFICA DA
 AREA. TIPO DE TURMA: LINHA MORTA (LM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6DC4F-DEB6-4D92-889E-8F2FCBE62838}">
  <sheetPr codeName="Planilha1">
    <pageSetUpPr fitToPage="1"/>
  </sheetPr>
  <dimension ref="C1:AA186"/>
  <sheetViews>
    <sheetView showGridLines="0" tabSelected="1" view="pageBreakPreview" zoomScaleNormal="100" zoomScaleSheetLayoutView="100" workbookViewId="0">
      <selection activeCell="J21" sqref="J21:N32"/>
    </sheetView>
  </sheetViews>
  <sheetFormatPr defaultColWidth="9.109375" defaultRowHeight="14.4" x14ac:dyDescent="0.3"/>
  <cols>
    <col min="1" max="1" width="9.109375" style="10"/>
    <col min="2" max="2" width="3.6640625" style="10" customWidth="1"/>
    <col min="3" max="3" width="9.109375" style="10" customWidth="1"/>
    <col min="4" max="8" width="9.33203125" style="10" customWidth="1"/>
    <col min="9" max="9" width="9.109375" style="10" customWidth="1"/>
    <col min="10" max="10" width="9.88671875" style="10" bestFit="1" customWidth="1"/>
    <col min="11" max="14" width="9.33203125" style="10" customWidth="1"/>
    <col min="15" max="15" width="3.44140625" style="10" customWidth="1"/>
    <col min="16" max="16" width="3.88671875" style="10" customWidth="1"/>
    <col min="17" max="17" width="3.6640625" style="10" customWidth="1"/>
    <col min="18" max="18" width="15" style="10" bestFit="1" customWidth="1"/>
    <col min="19" max="19" width="9.6640625" style="10" customWidth="1"/>
    <col min="20" max="20" width="13.109375" style="10" customWidth="1"/>
    <col min="21" max="21" width="42.33203125" style="10" customWidth="1"/>
    <col min="22" max="22" width="7.5546875" style="10" customWidth="1"/>
    <col min="23" max="23" width="7.88671875" style="10" bestFit="1" customWidth="1"/>
    <col min="24" max="24" width="9.33203125" style="10" bestFit="1" customWidth="1"/>
    <col min="25" max="25" width="9.33203125" style="10" customWidth="1"/>
    <col min="26" max="26" width="3.6640625" style="10" customWidth="1"/>
    <col min="27" max="27" width="9.33203125" style="10" customWidth="1"/>
    <col min="28" max="28" width="3.44140625" style="10" customWidth="1"/>
    <col min="29" max="16384" width="9.109375" style="10"/>
  </cols>
  <sheetData>
    <row r="1" spans="3:18" ht="39.75" customHeight="1" x14ac:dyDescent="0.3"/>
    <row r="2" spans="3:18" ht="13.5" customHeight="1" thickBot="1" x14ac:dyDescent="0.35"/>
    <row r="3" spans="3:18" ht="20.25" customHeight="1" x14ac:dyDescent="0.3">
      <c r="C3" s="11"/>
      <c r="D3" s="12"/>
      <c r="E3" s="13"/>
      <c r="F3" s="54" t="s">
        <v>161</v>
      </c>
      <c r="G3" s="55"/>
      <c r="H3" s="55"/>
      <c r="I3" s="55"/>
      <c r="J3" s="55"/>
      <c r="K3" s="55"/>
      <c r="L3" s="55"/>
      <c r="M3" s="55"/>
      <c r="N3" s="56"/>
    </row>
    <row r="4" spans="3:18" ht="20.25" customHeight="1" thickBot="1" x14ac:dyDescent="0.35">
      <c r="C4" s="14"/>
      <c r="D4" s="15"/>
      <c r="E4" s="16"/>
      <c r="F4" s="57"/>
      <c r="G4" s="58"/>
      <c r="H4" s="58"/>
      <c r="I4" s="58"/>
      <c r="J4" s="58"/>
      <c r="K4" s="58"/>
      <c r="L4" s="58"/>
      <c r="M4" s="58"/>
      <c r="N4" s="59"/>
    </row>
    <row r="5" spans="3:18" ht="5.0999999999999996" customHeight="1" x14ac:dyDescent="0.3"/>
    <row r="6" spans="3:18" ht="15.75" customHeight="1" x14ac:dyDescent="0.3">
      <c r="C6" s="48" t="s">
        <v>145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50"/>
    </row>
    <row r="7" spans="3:18" ht="5.0999999999999996" customHeight="1" x14ac:dyDescent="0.3"/>
    <row r="8" spans="3:18" x14ac:dyDescent="0.3">
      <c r="C8" s="17" t="s">
        <v>146</v>
      </c>
      <c r="D8" s="60"/>
      <c r="E8" s="61"/>
      <c r="F8" s="62"/>
      <c r="G8" s="17" t="s">
        <v>164</v>
      </c>
      <c r="H8" s="60"/>
      <c r="I8" s="62"/>
      <c r="J8" s="18" t="s">
        <v>166</v>
      </c>
      <c r="K8" s="61"/>
      <c r="L8" s="61"/>
      <c r="M8" s="17" t="s">
        <v>147</v>
      </c>
      <c r="N8" s="19"/>
      <c r="R8" s="20" t="str">
        <f>SUBSTITUTE(SUBSTITUTE(D8,".",""),"-","")</f>
        <v/>
      </c>
    </row>
    <row r="9" spans="3:18" x14ac:dyDescent="0.3">
      <c r="C9" s="63" t="s">
        <v>163</v>
      </c>
      <c r="D9" s="64"/>
      <c r="E9" s="60"/>
      <c r="F9" s="61"/>
      <c r="G9" s="61"/>
      <c r="H9" s="61"/>
      <c r="I9" s="62"/>
      <c r="J9" s="17" t="s">
        <v>165</v>
      </c>
      <c r="K9" s="60"/>
      <c r="L9" s="61"/>
      <c r="M9" s="61"/>
      <c r="N9" s="62"/>
    </row>
    <row r="10" spans="3:18" ht="5.0999999999999996" customHeight="1" x14ac:dyDescent="0.3"/>
    <row r="11" spans="3:18" x14ac:dyDescent="0.3">
      <c r="C11" s="48" t="s">
        <v>154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50"/>
    </row>
    <row r="12" spans="3:18" ht="5.0999999999999996" customHeight="1" x14ac:dyDescent="0.3"/>
    <row r="13" spans="3:18" x14ac:dyDescent="0.3">
      <c r="C13" s="63" t="s">
        <v>143</v>
      </c>
      <c r="D13" s="64"/>
      <c r="E13" s="65">
        <f>ROUNDUP(MATERIAIS!I4,3)</f>
        <v>0</v>
      </c>
      <c r="F13" s="66"/>
      <c r="G13" s="66"/>
      <c r="H13" s="67"/>
      <c r="I13" s="63" t="s">
        <v>149</v>
      </c>
      <c r="J13" s="64"/>
      <c r="K13" s="78"/>
      <c r="L13" s="79"/>
      <c r="M13" s="79"/>
      <c r="N13" s="80"/>
      <c r="O13" s="21"/>
    </row>
    <row r="14" spans="3:18" ht="5.0999999999999996" customHeight="1" x14ac:dyDescent="0.3"/>
    <row r="15" spans="3:18" x14ac:dyDescent="0.3">
      <c r="C15" s="63" t="s">
        <v>148</v>
      </c>
      <c r="D15" s="64"/>
      <c r="E15" s="65">
        <f>ROUNDUP(E13/1000,3)</f>
        <v>0</v>
      </c>
      <c r="F15" s="66"/>
      <c r="G15" s="66"/>
      <c r="H15" s="67"/>
      <c r="I15" s="63" t="s">
        <v>144</v>
      </c>
      <c r="J15" s="64"/>
      <c r="K15" s="65">
        <f>K13/1000</f>
        <v>0</v>
      </c>
      <c r="L15" s="66"/>
      <c r="M15" s="66"/>
      <c r="N15" s="67"/>
    </row>
    <row r="16" spans="3:18" ht="5.0999999999999996" customHeight="1" x14ac:dyDescent="0.3"/>
    <row r="17" spans="3:14" x14ac:dyDescent="0.3">
      <c r="C17" s="48" t="s">
        <v>156</v>
      </c>
      <c r="D17" s="49"/>
      <c r="E17" s="50"/>
      <c r="F17" s="51">
        <v>3035.64</v>
      </c>
      <c r="G17" s="51"/>
      <c r="H17" s="52"/>
      <c r="I17" s="63" t="s">
        <v>160</v>
      </c>
      <c r="J17" s="64" t="s">
        <v>151</v>
      </c>
      <c r="K17" s="22">
        <f>ROUNDUP(E15*K15,3)</f>
        <v>0</v>
      </c>
      <c r="L17" s="23" t="s">
        <v>152</v>
      </c>
      <c r="M17" s="53">
        <f>K17*F17</f>
        <v>0</v>
      </c>
      <c r="N17" s="52"/>
    </row>
    <row r="18" spans="3:14" ht="5.0999999999999996" customHeight="1" x14ac:dyDescent="0.3">
      <c r="D18" s="24"/>
      <c r="E18" s="24"/>
      <c r="F18" s="24"/>
    </row>
    <row r="19" spans="3:14" x14ac:dyDescent="0.3">
      <c r="C19" s="48" t="s">
        <v>153</v>
      </c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50"/>
    </row>
    <row r="20" spans="3:14" ht="5.0999999999999996" customHeight="1" x14ac:dyDescent="0.3"/>
    <row r="21" spans="3:14" ht="15" customHeight="1" x14ac:dyDescent="0.3">
      <c r="C21" s="25"/>
      <c r="D21" s="38"/>
      <c r="E21" s="39"/>
      <c r="F21" s="39"/>
      <c r="G21" s="39"/>
      <c r="H21" s="40"/>
      <c r="I21" s="25"/>
      <c r="J21" s="38"/>
      <c r="K21" s="39"/>
      <c r="L21" s="39"/>
      <c r="M21" s="39"/>
      <c r="N21" s="40"/>
    </row>
    <row r="22" spans="3:14" ht="15" customHeight="1" x14ac:dyDescent="0.3">
      <c r="C22" s="47" t="s">
        <v>129</v>
      </c>
      <c r="D22" s="41"/>
      <c r="E22" s="42"/>
      <c r="F22" s="42"/>
      <c r="G22" s="42"/>
      <c r="H22" s="43"/>
      <c r="I22" s="47" t="s">
        <v>130</v>
      </c>
      <c r="J22" s="41"/>
      <c r="K22" s="42"/>
      <c r="L22" s="42"/>
      <c r="M22" s="42"/>
      <c r="N22" s="43"/>
    </row>
    <row r="23" spans="3:14" x14ac:dyDescent="0.3">
      <c r="C23" s="47"/>
      <c r="D23" s="41"/>
      <c r="E23" s="42"/>
      <c r="F23" s="42"/>
      <c r="G23" s="42"/>
      <c r="H23" s="43"/>
      <c r="I23" s="47"/>
      <c r="J23" s="41"/>
      <c r="K23" s="42"/>
      <c r="L23" s="42"/>
      <c r="M23" s="42"/>
      <c r="N23" s="43"/>
    </row>
    <row r="24" spans="3:14" x14ac:dyDescent="0.3">
      <c r="C24" s="47"/>
      <c r="D24" s="41"/>
      <c r="E24" s="42"/>
      <c r="F24" s="42"/>
      <c r="G24" s="42"/>
      <c r="H24" s="43"/>
      <c r="I24" s="47"/>
      <c r="J24" s="41"/>
      <c r="K24" s="42"/>
      <c r="L24" s="42"/>
      <c r="M24" s="42"/>
      <c r="N24" s="43"/>
    </row>
    <row r="25" spans="3:14" x14ac:dyDescent="0.3">
      <c r="C25" s="47"/>
      <c r="D25" s="41"/>
      <c r="E25" s="42"/>
      <c r="F25" s="42"/>
      <c r="G25" s="42"/>
      <c r="H25" s="43"/>
      <c r="I25" s="47"/>
      <c r="J25" s="41"/>
      <c r="K25" s="42"/>
      <c r="L25" s="42"/>
      <c r="M25" s="42"/>
      <c r="N25" s="43"/>
    </row>
    <row r="26" spans="3:14" x14ac:dyDescent="0.3">
      <c r="C26" s="47"/>
      <c r="D26" s="41"/>
      <c r="E26" s="42"/>
      <c r="F26" s="42"/>
      <c r="G26" s="42"/>
      <c r="H26" s="43"/>
      <c r="I26" s="47"/>
      <c r="J26" s="41"/>
      <c r="K26" s="42"/>
      <c r="L26" s="42"/>
      <c r="M26" s="42"/>
      <c r="N26" s="43"/>
    </row>
    <row r="27" spans="3:14" x14ac:dyDescent="0.3">
      <c r="C27" s="47"/>
      <c r="D27" s="41"/>
      <c r="E27" s="42"/>
      <c r="F27" s="42"/>
      <c r="G27" s="42"/>
      <c r="H27" s="43"/>
      <c r="I27" s="47"/>
      <c r="J27" s="41"/>
      <c r="K27" s="42"/>
      <c r="L27" s="42"/>
      <c r="M27" s="42"/>
      <c r="N27" s="43"/>
    </row>
    <row r="28" spans="3:14" x14ac:dyDescent="0.3">
      <c r="C28" s="47"/>
      <c r="D28" s="41"/>
      <c r="E28" s="42"/>
      <c r="F28" s="42"/>
      <c r="G28" s="42"/>
      <c r="H28" s="43"/>
      <c r="I28" s="47"/>
      <c r="J28" s="41"/>
      <c r="K28" s="42"/>
      <c r="L28" s="42"/>
      <c r="M28" s="42"/>
      <c r="N28" s="43"/>
    </row>
    <row r="29" spans="3:14" x14ac:dyDescent="0.3">
      <c r="C29" s="47"/>
      <c r="D29" s="41"/>
      <c r="E29" s="42"/>
      <c r="F29" s="42"/>
      <c r="G29" s="42"/>
      <c r="H29" s="43"/>
      <c r="I29" s="47"/>
      <c r="J29" s="41"/>
      <c r="K29" s="42"/>
      <c r="L29" s="42"/>
      <c r="M29" s="42"/>
      <c r="N29" s="43"/>
    </row>
    <row r="30" spans="3:14" x14ac:dyDescent="0.3">
      <c r="C30" s="47"/>
      <c r="D30" s="41"/>
      <c r="E30" s="42"/>
      <c r="F30" s="42"/>
      <c r="G30" s="42"/>
      <c r="H30" s="43"/>
      <c r="I30" s="47"/>
      <c r="J30" s="41"/>
      <c r="K30" s="42"/>
      <c r="L30" s="42"/>
      <c r="M30" s="42"/>
      <c r="N30" s="43"/>
    </row>
    <row r="31" spans="3:14" x14ac:dyDescent="0.3">
      <c r="C31" s="47"/>
      <c r="D31" s="41"/>
      <c r="E31" s="42"/>
      <c r="F31" s="42"/>
      <c r="G31" s="42"/>
      <c r="H31" s="43"/>
      <c r="I31" s="47"/>
      <c r="J31" s="41"/>
      <c r="K31" s="42"/>
      <c r="L31" s="42"/>
      <c r="M31" s="42"/>
      <c r="N31" s="43"/>
    </row>
    <row r="32" spans="3:14" x14ac:dyDescent="0.3">
      <c r="C32" s="37"/>
      <c r="D32" s="44"/>
      <c r="E32" s="45"/>
      <c r="F32" s="45"/>
      <c r="G32" s="45"/>
      <c r="H32" s="46"/>
      <c r="I32" s="37"/>
      <c r="J32" s="44"/>
      <c r="K32" s="45"/>
      <c r="L32" s="45"/>
      <c r="M32" s="45"/>
      <c r="N32" s="46"/>
    </row>
    <row r="33" spans="3:14" ht="5.0999999999999996" customHeight="1" x14ac:dyDescent="0.3"/>
    <row r="34" spans="3:14" ht="15" customHeight="1" x14ac:dyDescent="0.3">
      <c r="C34" s="25"/>
      <c r="D34" s="38"/>
      <c r="E34" s="39"/>
      <c r="F34" s="39"/>
      <c r="G34" s="39"/>
      <c r="H34" s="40"/>
      <c r="I34" s="25"/>
      <c r="J34" s="38"/>
      <c r="K34" s="39"/>
      <c r="L34" s="39"/>
      <c r="M34" s="39"/>
      <c r="N34" s="40"/>
    </row>
    <row r="35" spans="3:14" ht="15" customHeight="1" x14ac:dyDescent="0.3">
      <c r="C35" s="47" t="s">
        <v>131</v>
      </c>
      <c r="D35" s="41"/>
      <c r="E35" s="42"/>
      <c r="F35" s="42"/>
      <c r="G35" s="42"/>
      <c r="H35" s="43"/>
      <c r="I35" s="47" t="s">
        <v>132</v>
      </c>
      <c r="J35" s="41"/>
      <c r="K35" s="42"/>
      <c r="L35" s="42"/>
      <c r="M35" s="42"/>
      <c r="N35" s="43"/>
    </row>
    <row r="36" spans="3:14" x14ac:dyDescent="0.3">
      <c r="C36" s="47"/>
      <c r="D36" s="41"/>
      <c r="E36" s="42"/>
      <c r="F36" s="42"/>
      <c r="G36" s="42"/>
      <c r="H36" s="43"/>
      <c r="I36" s="47"/>
      <c r="J36" s="41"/>
      <c r="K36" s="42"/>
      <c r="L36" s="42"/>
      <c r="M36" s="42"/>
      <c r="N36" s="43"/>
    </row>
    <row r="37" spans="3:14" x14ac:dyDescent="0.3">
      <c r="C37" s="47"/>
      <c r="D37" s="41"/>
      <c r="E37" s="42"/>
      <c r="F37" s="42"/>
      <c r="G37" s="42"/>
      <c r="H37" s="43"/>
      <c r="I37" s="47"/>
      <c r="J37" s="41"/>
      <c r="K37" s="42"/>
      <c r="L37" s="42"/>
      <c r="M37" s="42"/>
      <c r="N37" s="43"/>
    </row>
    <row r="38" spans="3:14" x14ac:dyDescent="0.3">
      <c r="C38" s="47"/>
      <c r="D38" s="41"/>
      <c r="E38" s="42"/>
      <c r="F38" s="42"/>
      <c r="G38" s="42"/>
      <c r="H38" s="43"/>
      <c r="I38" s="47"/>
      <c r="J38" s="41"/>
      <c r="K38" s="42"/>
      <c r="L38" s="42"/>
      <c r="M38" s="42"/>
      <c r="N38" s="43"/>
    </row>
    <row r="39" spans="3:14" x14ac:dyDescent="0.3">
      <c r="C39" s="47"/>
      <c r="D39" s="41"/>
      <c r="E39" s="42"/>
      <c r="F39" s="42"/>
      <c r="G39" s="42"/>
      <c r="H39" s="43"/>
      <c r="I39" s="47"/>
      <c r="J39" s="41"/>
      <c r="K39" s="42"/>
      <c r="L39" s="42"/>
      <c r="M39" s="42"/>
      <c r="N39" s="43"/>
    </row>
    <row r="40" spans="3:14" x14ac:dyDescent="0.3">
      <c r="C40" s="47"/>
      <c r="D40" s="41"/>
      <c r="E40" s="42"/>
      <c r="F40" s="42"/>
      <c r="G40" s="42"/>
      <c r="H40" s="43"/>
      <c r="I40" s="47"/>
      <c r="J40" s="41"/>
      <c r="K40" s="42"/>
      <c r="L40" s="42"/>
      <c r="M40" s="42"/>
      <c r="N40" s="43"/>
    </row>
    <row r="41" spans="3:14" x14ac:dyDescent="0.3">
      <c r="C41" s="47"/>
      <c r="D41" s="41"/>
      <c r="E41" s="42"/>
      <c r="F41" s="42"/>
      <c r="G41" s="42"/>
      <c r="H41" s="43"/>
      <c r="I41" s="47"/>
      <c r="J41" s="41"/>
      <c r="K41" s="42"/>
      <c r="L41" s="42"/>
      <c r="M41" s="42"/>
      <c r="N41" s="43"/>
    </row>
    <row r="42" spans="3:14" x14ac:dyDescent="0.3">
      <c r="C42" s="47"/>
      <c r="D42" s="41"/>
      <c r="E42" s="42"/>
      <c r="F42" s="42"/>
      <c r="G42" s="42"/>
      <c r="H42" s="43"/>
      <c r="I42" s="47"/>
      <c r="J42" s="41"/>
      <c r="K42" s="42"/>
      <c r="L42" s="42"/>
      <c r="M42" s="42"/>
      <c r="N42" s="43"/>
    </row>
    <row r="43" spans="3:14" x14ac:dyDescent="0.3">
      <c r="C43" s="47"/>
      <c r="D43" s="41"/>
      <c r="E43" s="42"/>
      <c r="F43" s="42"/>
      <c r="G43" s="42"/>
      <c r="H43" s="43"/>
      <c r="I43" s="47"/>
      <c r="J43" s="41"/>
      <c r="K43" s="42"/>
      <c r="L43" s="42"/>
      <c r="M43" s="42"/>
      <c r="N43" s="43"/>
    </row>
    <row r="44" spans="3:14" x14ac:dyDescent="0.3">
      <c r="C44" s="47"/>
      <c r="D44" s="41"/>
      <c r="E44" s="42"/>
      <c r="F44" s="42"/>
      <c r="G44" s="42"/>
      <c r="H44" s="43"/>
      <c r="I44" s="47"/>
      <c r="J44" s="41"/>
      <c r="K44" s="42"/>
      <c r="L44" s="42"/>
      <c r="M44" s="42"/>
      <c r="N44" s="43"/>
    </row>
    <row r="45" spans="3:14" x14ac:dyDescent="0.3">
      <c r="C45" s="37"/>
      <c r="D45" s="44"/>
      <c r="E45" s="45"/>
      <c r="F45" s="45"/>
      <c r="G45" s="45"/>
      <c r="H45" s="46"/>
      <c r="I45" s="37"/>
      <c r="J45" s="44"/>
      <c r="K45" s="45"/>
      <c r="L45" s="45"/>
      <c r="M45" s="45"/>
      <c r="N45" s="46"/>
    </row>
    <row r="46" spans="3:14" ht="5.0999999999999996" customHeight="1" x14ac:dyDescent="0.3"/>
    <row r="47" spans="3:14" ht="15" customHeight="1" x14ac:dyDescent="0.3">
      <c r="C47" s="25"/>
      <c r="D47" s="38"/>
      <c r="E47" s="39"/>
      <c r="F47" s="39"/>
      <c r="G47" s="39"/>
      <c r="H47" s="40"/>
      <c r="I47" s="25"/>
      <c r="J47" s="38"/>
      <c r="K47" s="39"/>
      <c r="L47" s="39"/>
      <c r="M47" s="39"/>
      <c r="N47" s="40"/>
    </row>
    <row r="48" spans="3:14" ht="15" customHeight="1" x14ac:dyDescent="0.3">
      <c r="C48" s="47" t="s">
        <v>133</v>
      </c>
      <c r="D48" s="41"/>
      <c r="E48" s="42"/>
      <c r="F48" s="42"/>
      <c r="G48" s="42"/>
      <c r="H48" s="43"/>
      <c r="I48" s="47" t="s">
        <v>134</v>
      </c>
      <c r="J48" s="41"/>
      <c r="K48" s="42"/>
      <c r="L48" s="42"/>
      <c r="M48" s="42"/>
      <c r="N48" s="43"/>
    </row>
    <row r="49" spans="3:14" x14ac:dyDescent="0.3">
      <c r="C49" s="47"/>
      <c r="D49" s="41"/>
      <c r="E49" s="42"/>
      <c r="F49" s="42"/>
      <c r="G49" s="42"/>
      <c r="H49" s="43"/>
      <c r="I49" s="47"/>
      <c r="J49" s="41"/>
      <c r="K49" s="42"/>
      <c r="L49" s="42"/>
      <c r="M49" s="42"/>
      <c r="N49" s="43"/>
    </row>
    <row r="50" spans="3:14" x14ac:dyDescent="0.3">
      <c r="C50" s="47"/>
      <c r="D50" s="41"/>
      <c r="E50" s="42"/>
      <c r="F50" s="42"/>
      <c r="G50" s="42"/>
      <c r="H50" s="43"/>
      <c r="I50" s="47"/>
      <c r="J50" s="41"/>
      <c r="K50" s="42"/>
      <c r="L50" s="42"/>
      <c r="M50" s="42"/>
      <c r="N50" s="43"/>
    </row>
    <row r="51" spans="3:14" x14ac:dyDescent="0.3">
      <c r="C51" s="47"/>
      <c r="D51" s="41"/>
      <c r="E51" s="42"/>
      <c r="F51" s="42"/>
      <c r="G51" s="42"/>
      <c r="H51" s="43"/>
      <c r="I51" s="47"/>
      <c r="J51" s="41"/>
      <c r="K51" s="42"/>
      <c r="L51" s="42"/>
      <c r="M51" s="42"/>
      <c r="N51" s="43"/>
    </row>
    <row r="52" spans="3:14" x14ac:dyDescent="0.3">
      <c r="C52" s="47"/>
      <c r="D52" s="41"/>
      <c r="E52" s="42"/>
      <c r="F52" s="42"/>
      <c r="G52" s="42"/>
      <c r="H52" s="43"/>
      <c r="I52" s="47"/>
      <c r="J52" s="41"/>
      <c r="K52" s="42"/>
      <c r="L52" s="42"/>
      <c r="M52" s="42"/>
      <c r="N52" s="43"/>
    </row>
    <row r="53" spans="3:14" x14ac:dyDescent="0.3">
      <c r="C53" s="47"/>
      <c r="D53" s="41"/>
      <c r="E53" s="42"/>
      <c r="F53" s="42"/>
      <c r="G53" s="42"/>
      <c r="H53" s="43"/>
      <c r="I53" s="47"/>
      <c r="J53" s="41"/>
      <c r="K53" s="42"/>
      <c r="L53" s="42"/>
      <c r="M53" s="42"/>
      <c r="N53" s="43"/>
    </row>
    <row r="54" spans="3:14" x14ac:dyDescent="0.3">
      <c r="C54" s="47"/>
      <c r="D54" s="41"/>
      <c r="E54" s="42"/>
      <c r="F54" s="42"/>
      <c r="G54" s="42"/>
      <c r="H54" s="43"/>
      <c r="I54" s="47"/>
      <c r="J54" s="41"/>
      <c r="K54" s="42"/>
      <c r="L54" s="42"/>
      <c r="M54" s="42"/>
      <c r="N54" s="43"/>
    </row>
    <row r="55" spans="3:14" x14ac:dyDescent="0.3">
      <c r="C55" s="47"/>
      <c r="D55" s="41"/>
      <c r="E55" s="42"/>
      <c r="F55" s="42"/>
      <c r="G55" s="42"/>
      <c r="H55" s="43"/>
      <c r="I55" s="47"/>
      <c r="J55" s="41"/>
      <c r="K55" s="42"/>
      <c r="L55" s="42"/>
      <c r="M55" s="42"/>
      <c r="N55" s="43"/>
    </row>
    <row r="56" spans="3:14" x14ac:dyDescent="0.3">
      <c r="C56" s="47"/>
      <c r="D56" s="41"/>
      <c r="E56" s="42"/>
      <c r="F56" s="42"/>
      <c r="G56" s="42"/>
      <c r="H56" s="43"/>
      <c r="I56" s="47"/>
      <c r="J56" s="41"/>
      <c r="K56" s="42"/>
      <c r="L56" s="42"/>
      <c r="M56" s="42"/>
      <c r="N56" s="43"/>
    </row>
    <row r="57" spans="3:14" x14ac:dyDescent="0.3">
      <c r="C57" s="47"/>
      <c r="D57" s="41"/>
      <c r="E57" s="42"/>
      <c r="F57" s="42"/>
      <c r="G57" s="42"/>
      <c r="H57" s="43"/>
      <c r="I57" s="47"/>
      <c r="J57" s="41"/>
      <c r="K57" s="42"/>
      <c r="L57" s="42"/>
      <c r="M57" s="42"/>
      <c r="N57" s="43"/>
    </row>
    <row r="58" spans="3:14" x14ac:dyDescent="0.3">
      <c r="C58" s="37"/>
      <c r="D58" s="44"/>
      <c r="E58" s="45"/>
      <c r="F58" s="45"/>
      <c r="G58" s="45"/>
      <c r="H58" s="46"/>
      <c r="I58" s="37"/>
      <c r="J58" s="44"/>
      <c r="K58" s="45"/>
      <c r="L58" s="45"/>
      <c r="M58" s="45"/>
      <c r="N58" s="46"/>
    </row>
    <row r="59" spans="3:14" ht="5.0999999999999996" customHeight="1" x14ac:dyDescent="0.3"/>
    <row r="60" spans="3:14" ht="15" customHeight="1" x14ac:dyDescent="0.3">
      <c r="C60" s="25"/>
      <c r="D60" s="38"/>
      <c r="E60" s="39"/>
      <c r="F60" s="39"/>
      <c r="G60" s="39"/>
      <c r="H60" s="40"/>
      <c r="I60" s="25"/>
      <c r="J60" s="38"/>
      <c r="K60" s="39"/>
      <c r="L60" s="39"/>
      <c r="M60" s="39"/>
      <c r="N60" s="40"/>
    </row>
    <row r="61" spans="3:14" ht="15" customHeight="1" x14ac:dyDescent="0.3">
      <c r="C61" s="47" t="s">
        <v>135</v>
      </c>
      <c r="D61" s="41"/>
      <c r="E61" s="42"/>
      <c r="F61" s="42"/>
      <c r="G61" s="42"/>
      <c r="H61" s="43"/>
      <c r="I61" s="47" t="s">
        <v>136</v>
      </c>
      <c r="J61" s="41"/>
      <c r="K61" s="42"/>
      <c r="L61" s="42"/>
      <c r="M61" s="42"/>
      <c r="N61" s="43"/>
    </row>
    <row r="62" spans="3:14" x14ac:dyDescent="0.3">
      <c r="C62" s="47"/>
      <c r="D62" s="41"/>
      <c r="E62" s="42"/>
      <c r="F62" s="42"/>
      <c r="G62" s="42"/>
      <c r="H62" s="43"/>
      <c r="I62" s="47"/>
      <c r="J62" s="41"/>
      <c r="K62" s="42"/>
      <c r="L62" s="42"/>
      <c r="M62" s="42"/>
      <c r="N62" s="43"/>
    </row>
    <row r="63" spans="3:14" x14ac:dyDescent="0.3">
      <c r="C63" s="47"/>
      <c r="D63" s="41"/>
      <c r="E63" s="42"/>
      <c r="F63" s="42"/>
      <c r="G63" s="42"/>
      <c r="H63" s="43"/>
      <c r="I63" s="47"/>
      <c r="J63" s="41"/>
      <c r="K63" s="42"/>
      <c r="L63" s="42"/>
      <c r="M63" s="42"/>
      <c r="N63" s="43"/>
    </row>
    <row r="64" spans="3:14" x14ac:dyDescent="0.3">
      <c r="C64" s="47"/>
      <c r="D64" s="41"/>
      <c r="E64" s="42"/>
      <c r="F64" s="42"/>
      <c r="G64" s="42"/>
      <c r="H64" s="43"/>
      <c r="I64" s="47"/>
      <c r="J64" s="41"/>
      <c r="K64" s="42"/>
      <c r="L64" s="42"/>
      <c r="M64" s="42"/>
      <c r="N64" s="43"/>
    </row>
    <row r="65" spans="3:27" x14ac:dyDescent="0.3">
      <c r="C65" s="47"/>
      <c r="D65" s="41"/>
      <c r="E65" s="42"/>
      <c r="F65" s="42"/>
      <c r="G65" s="42"/>
      <c r="H65" s="43"/>
      <c r="I65" s="47"/>
      <c r="J65" s="41"/>
      <c r="K65" s="42"/>
      <c r="L65" s="42"/>
      <c r="M65" s="42"/>
      <c r="N65" s="43"/>
    </row>
    <row r="66" spans="3:27" x14ac:dyDescent="0.3">
      <c r="C66" s="47"/>
      <c r="D66" s="41"/>
      <c r="E66" s="42"/>
      <c r="F66" s="42"/>
      <c r="G66" s="42"/>
      <c r="H66" s="43"/>
      <c r="I66" s="47"/>
      <c r="J66" s="41"/>
      <c r="K66" s="42"/>
      <c r="L66" s="42"/>
      <c r="M66" s="42"/>
      <c r="N66" s="43"/>
    </row>
    <row r="67" spans="3:27" x14ac:dyDescent="0.3">
      <c r="C67" s="47"/>
      <c r="D67" s="41"/>
      <c r="E67" s="42"/>
      <c r="F67" s="42"/>
      <c r="G67" s="42"/>
      <c r="H67" s="43"/>
      <c r="I67" s="47"/>
      <c r="J67" s="41"/>
      <c r="K67" s="42"/>
      <c r="L67" s="42"/>
      <c r="M67" s="42"/>
      <c r="N67" s="43"/>
    </row>
    <row r="68" spans="3:27" x14ac:dyDescent="0.3">
      <c r="C68" s="47"/>
      <c r="D68" s="41"/>
      <c r="E68" s="42"/>
      <c r="F68" s="42"/>
      <c r="G68" s="42"/>
      <c r="H68" s="43"/>
      <c r="I68" s="47"/>
      <c r="J68" s="41"/>
      <c r="K68" s="42"/>
      <c r="L68" s="42"/>
      <c r="M68" s="42"/>
      <c r="N68" s="43"/>
    </row>
    <row r="69" spans="3:27" x14ac:dyDescent="0.3">
      <c r="C69" s="47"/>
      <c r="D69" s="41"/>
      <c r="E69" s="42"/>
      <c r="F69" s="42"/>
      <c r="G69" s="42"/>
      <c r="H69" s="43"/>
      <c r="I69" s="47"/>
      <c r="J69" s="41"/>
      <c r="K69" s="42"/>
      <c r="L69" s="42"/>
      <c r="M69" s="42"/>
      <c r="N69" s="43"/>
    </row>
    <row r="70" spans="3:27" x14ac:dyDescent="0.3">
      <c r="C70" s="47"/>
      <c r="D70" s="41"/>
      <c r="E70" s="42"/>
      <c r="F70" s="42"/>
      <c r="G70" s="42"/>
      <c r="H70" s="43"/>
      <c r="I70" s="47"/>
      <c r="J70" s="41"/>
      <c r="K70" s="42"/>
      <c r="L70" s="42"/>
      <c r="M70" s="42"/>
      <c r="N70" s="43"/>
    </row>
    <row r="71" spans="3:27" x14ac:dyDescent="0.3">
      <c r="C71" s="37"/>
      <c r="D71" s="44"/>
      <c r="E71" s="45"/>
      <c r="F71" s="45"/>
      <c r="G71" s="45"/>
      <c r="H71" s="46"/>
      <c r="I71" s="37"/>
      <c r="J71" s="44"/>
      <c r="K71" s="45"/>
      <c r="L71" s="45"/>
      <c r="M71" s="45"/>
      <c r="N71" s="46"/>
    </row>
    <row r="74" spans="3:27" ht="15" thickBot="1" x14ac:dyDescent="0.35"/>
    <row r="75" spans="3:27" ht="20.25" customHeight="1" x14ac:dyDescent="0.3">
      <c r="R75" s="81"/>
      <c r="S75" s="82"/>
      <c r="T75" s="70" t="s">
        <v>159</v>
      </c>
      <c r="U75" s="71"/>
      <c r="V75" s="71"/>
      <c r="W75" s="71"/>
      <c r="X75" s="71"/>
      <c r="Y75" s="72"/>
      <c r="Z75" s="26"/>
    </row>
    <row r="76" spans="3:27" ht="20.25" customHeight="1" thickBot="1" x14ac:dyDescent="0.35">
      <c r="R76" s="83"/>
      <c r="S76" s="84"/>
      <c r="T76" s="73"/>
      <c r="U76" s="74"/>
      <c r="V76" s="74"/>
      <c r="W76" s="74"/>
      <c r="X76" s="74"/>
      <c r="Y76" s="75"/>
      <c r="Z76" s="26"/>
    </row>
    <row r="78" spans="3:27" x14ac:dyDescent="0.3">
      <c r="R78" s="27" t="s">
        <v>2</v>
      </c>
      <c r="S78" s="28" t="s">
        <v>3</v>
      </c>
      <c r="T78" s="28" t="s">
        <v>0</v>
      </c>
      <c r="U78" s="28" t="s">
        <v>1</v>
      </c>
      <c r="V78" s="28" t="s">
        <v>142</v>
      </c>
      <c r="W78" s="28" t="s">
        <v>127</v>
      </c>
      <c r="X78" s="28" t="s">
        <v>125</v>
      </c>
      <c r="Y78" s="29" t="s">
        <v>126</v>
      </c>
      <c r="Z78" s="30" t="s">
        <v>158</v>
      </c>
      <c r="AA78" s="31" t="s">
        <v>157</v>
      </c>
    </row>
    <row r="79" spans="3:27" x14ac:dyDescent="0.3">
      <c r="R79" s="32" t="s">
        <v>41</v>
      </c>
      <c r="S79" s="33" t="s">
        <v>15</v>
      </c>
      <c r="T79" s="33">
        <v>133410002</v>
      </c>
      <c r="U79" s="33" t="s">
        <v>109</v>
      </c>
      <c r="V79" s="33" t="s">
        <v>10</v>
      </c>
      <c r="W79" s="33">
        <v>85</v>
      </c>
      <c r="X79" s="33">
        <f>SUMIFS(Tabela2[QTD],Tabela2[MATERIAL],Tabela1[[#This Row],[MATERIAL]])</f>
        <v>0</v>
      </c>
      <c r="Y79" s="34">
        <f>Tabela1[[#This Row],[QTD]]*Tabela1[[#This Row],[PESO]]</f>
        <v>0</v>
      </c>
      <c r="AA79" s="35">
        <f>IF(Tabela1[[#This Row],[QTD]]=0,0,1)</f>
        <v>0</v>
      </c>
    </row>
    <row r="80" spans="3:27" x14ac:dyDescent="0.3">
      <c r="R80" s="32" t="s">
        <v>41</v>
      </c>
      <c r="S80" s="33" t="s">
        <v>15</v>
      </c>
      <c r="T80" s="33">
        <v>133410005</v>
      </c>
      <c r="U80" s="33" t="s">
        <v>137</v>
      </c>
      <c r="V80" s="33" t="s">
        <v>10</v>
      </c>
      <c r="W80" s="33">
        <v>110</v>
      </c>
      <c r="X80" s="33">
        <f>SUMIFS(Tabela2[QTD],Tabela2[MATERIAL],Tabela1[[#This Row],[MATERIAL]])</f>
        <v>0</v>
      </c>
      <c r="Y80" s="34">
        <f>Tabela1[[#This Row],[QTD]]*Tabela1[[#This Row],[PESO]]</f>
        <v>0</v>
      </c>
      <c r="AA80" s="35">
        <f>IF(Tabela1[[#This Row],[QTD]]=0,0,1)</f>
        <v>0</v>
      </c>
    </row>
    <row r="81" spans="18:27" x14ac:dyDescent="0.3">
      <c r="R81" s="32" t="s">
        <v>41</v>
      </c>
      <c r="S81" s="33" t="s">
        <v>15</v>
      </c>
      <c r="T81" s="33">
        <v>133410007</v>
      </c>
      <c r="U81" s="33" t="s">
        <v>138</v>
      </c>
      <c r="V81" s="33" t="s">
        <v>10</v>
      </c>
      <c r="W81" s="33">
        <v>125</v>
      </c>
      <c r="X81" s="33">
        <f>SUMIFS(Tabela2[QTD],Tabela2[MATERIAL],Tabela1[[#This Row],[MATERIAL]])</f>
        <v>0</v>
      </c>
      <c r="Y81" s="34">
        <f>Tabela1[[#This Row],[QTD]]*Tabela1[[#This Row],[PESO]]</f>
        <v>0</v>
      </c>
      <c r="AA81" s="35">
        <f>IF(Tabela1[[#This Row],[QTD]]=0,0,1)</f>
        <v>0</v>
      </c>
    </row>
    <row r="82" spans="18:27" x14ac:dyDescent="0.3">
      <c r="R82" s="32" t="s">
        <v>41</v>
      </c>
      <c r="S82" s="33" t="s">
        <v>15</v>
      </c>
      <c r="T82" s="33">
        <v>133410010</v>
      </c>
      <c r="U82" s="33" t="s">
        <v>110</v>
      </c>
      <c r="V82" s="33" t="s">
        <v>10</v>
      </c>
      <c r="W82" s="33">
        <v>150</v>
      </c>
      <c r="X82" s="33">
        <f>SUMIFS(Tabela2[QTD],Tabela2[MATERIAL],Tabela1[[#This Row],[MATERIAL]])</f>
        <v>0</v>
      </c>
      <c r="Y82" s="34">
        <f>Tabela1[[#This Row],[QTD]]*Tabela1[[#This Row],[PESO]]</f>
        <v>0</v>
      </c>
      <c r="AA82" s="35">
        <f>IF(Tabela1[[#This Row],[QTD]]=0,0,1)</f>
        <v>0</v>
      </c>
    </row>
    <row r="83" spans="18:27" x14ac:dyDescent="0.3">
      <c r="R83" s="32" t="s">
        <v>41</v>
      </c>
      <c r="S83" s="33" t="s">
        <v>15</v>
      </c>
      <c r="T83" s="33">
        <v>133410008</v>
      </c>
      <c r="U83" s="33" t="s">
        <v>139</v>
      </c>
      <c r="V83" s="33" t="s">
        <v>10</v>
      </c>
      <c r="W83" s="33">
        <v>220</v>
      </c>
      <c r="X83" s="33">
        <f>SUMIFS(Tabela2[QTD],Tabela2[MATERIAL],Tabela1[[#This Row],[MATERIAL]])</f>
        <v>0</v>
      </c>
      <c r="Y83" s="34">
        <f>Tabela1[[#This Row],[QTD]]*Tabela1[[#This Row],[PESO]]</f>
        <v>0</v>
      </c>
      <c r="AA83" s="35">
        <f>IF(Tabela1[[#This Row],[QTD]]=0,0,1)</f>
        <v>0</v>
      </c>
    </row>
    <row r="84" spans="18:27" x14ac:dyDescent="0.3">
      <c r="R84" s="32" t="s">
        <v>41</v>
      </c>
      <c r="S84" s="33" t="s">
        <v>15</v>
      </c>
      <c r="T84" s="33">
        <v>133410011</v>
      </c>
      <c r="U84" s="33" t="s">
        <v>140</v>
      </c>
      <c r="V84" s="33" t="s">
        <v>10</v>
      </c>
      <c r="W84" s="33">
        <v>245</v>
      </c>
      <c r="X84" s="33">
        <f>SUMIFS(Tabela2[QTD],Tabela2[MATERIAL],Tabela1[[#This Row],[MATERIAL]])</f>
        <v>0</v>
      </c>
      <c r="Y84" s="34">
        <f>Tabela1[[#This Row],[QTD]]*Tabela1[[#This Row],[PESO]]</f>
        <v>0</v>
      </c>
      <c r="AA84" s="35">
        <f>IF(Tabela1[[#This Row],[QTD]]=0,0,1)</f>
        <v>0</v>
      </c>
    </row>
    <row r="85" spans="18:27" x14ac:dyDescent="0.3">
      <c r="R85" s="32" t="s">
        <v>41</v>
      </c>
      <c r="S85" s="33" t="s">
        <v>15</v>
      </c>
      <c r="T85" s="33">
        <v>133410003</v>
      </c>
      <c r="U85" s="33" t="s">
        <v>244</v>
      </c>
      <c r="V85" s="33" t="s">
        <v>10</v>
      </c>
      <c r="W85" s="33">
        <v>160</v>
      </c>
      <c r="X85" s="33">
        <f>SUMIFS(Tabela2[QTD],Tabela2[MATERIAL],Tabela1[[#This Row],[MATERIAL]])</f>
        <v>0</v>
      </c>
      <c r="Y85" s="34">
        <f>Tabela1[[#This Row],[QTD]]*Tabela1[[#This Row],[PESO]]</f>
        <v>0</v>
      </c>
      <c r="AA85" s="35">
        <f>IF(Tabela1[[#This Row],[QTD]]=0,0,1)</f>
        <v>0</v>
      </c>
    </row>
    <row r="86" spans="18:27" x14ac:dyDescent="0.3">
      <c r="R86" s="32" t="s">
        <v>41</v>
      </c>
      <c r="S86" s="33" t="s">
        <v>15</v>
      </c>
      <c r="T86" s="36">
        <v>133410013</v>
      </c>
      <c r="U86" s="36" t="s">
        <v>245</v>
      </c>
      <c r="V86" s="36" t="s">
        <v>10</v>
      </c>
      <c r="W86" s="36">
        <v>480</v>
      </c>
      <c r="X86" s="33">
        <f>SUMIFS(Tabela2[QTD],Tabela2[MATERIAL],Tabela1[[#This Row],[MATERIAL]])</f>
        <v>0</v>
      </c>
      <c r="Y86" s="34">
        <f>Tabela1[[#This Row],[QTD]]*Tabela1[[#This Row],[PESO]]</f>
        <v>0</v>
      </c>
      <c r="AA86" s="35">
        <f>IF(Tabela1[[#This Row],[QTD]]=0,0,1)</f>
        <v>0</v>
      </c>
    </row>
    <row r="87" spans="18:27" x14ac:dyDescent="0.3">
      <c r="R87" s="32" t="s">
        <v>23</v>
      </c>
      <c r="S87" s="33" t="s">
        <v>6</v>
      </c>
      <c r="T87" s="33">
        <v>133400006</v>
      </c>
      <c r="U87" s="33" t="s">
        <v>141</v>
      </c>
      <c r="V87" s="33" t="s">
        <v>10</v>
      </c>
      <c r="W87" s="33">
        <v>9.75</v>
      </c>
      <c r="X87" s="33">
        <f>SUMIFS(Tabela2[QTD],Tabela2[MATERIAL],Tabela1[[#This Row],[MATERIAL]])</f>
        <v>0</v>
      </c>
      <c r="Y87" s="34">
        <f>Tabela1[[#This Row],[QTD]]*Tabela1[[#This Row],[PESO]]</f>
        <v>0</v>
      </c>
      <c r="AA87" s="35">
        <f>IF(Tabela1[[#This Row],[QTD]]=0,0,1)</f>
        <v>0</v>
      </c>
    </row>
    <row r="88" spans="18:27" x14ac:dyDescent="0.3">
      <c r="R88" s="32" t="s">
        <v>17</v>
      </c>
      <c r="S88" s="33" t="s">
        <v>6</v>
      </c>
      <c r="T88" s="33">
        <v>133240028</v>
      </c>
      <c r="U88" s="33" t="s">
        <v>45</v>
      </c>
      <c r="V88" s="33" t="s">
        <v>10</v>
      </c>
      <c r="W88" s="33">
        <v>40</v>
      </c>
      <c r="X88" s="33">
        <f>SUMIFS(Tabela2[QTD],Tabela2[MATERIAL],Tabela1[[#This Row],[MATERIAL]])</f>
        <v>0</v>
      </c>
      <c r="Y88" s="34">
        <f>Tabela1[[#This Row],[QTD]]*Tabela1[[#This Row],[PESO]]</f>
        <v>0</v>
      </c>
      <c r="AA88" s="35">
        <f>IF(Tabela1[[#This Row],[QTD]]=0,0,1)</f>
        <v>0</v>
      </c>
    </row>
    <row r="89" spans="18:27" x14ac:dyDescent="0.3">
      <c r="R89" s="32" t="s">
        <v>47</v>
      </c>
      <c r="S89" s="33" t="s">
        <v>6</v>
      </c>
      <c r="T89" s="33">
        <v>122230007</v>
      </c>
      <c r="U89" s="33" t="s">
        <v>46</v>
      </c>
      <c r="V89" s="33" t="s">
        <v>128</v>
      </c>
      <c r="W89" s="33">
        <v>0.15</v>
      </c>
      <c r="X89" s="33">
        <f>SUMIFS(Tabela2[QTD],Tabela2[MATERIAL],Tabela1[[#This Row],[MATERIAL]])</f>
        <v>0</v>
      </c>
      <c r="Y89" s="34">
        <f>Tabela1[[#This Row],[QTD]]*Tabela1[[#This Row],[PESO]]</f>
        <v>0</v>
      </c>
      <c r="AA89" s="35">
        <f>IF(Tabela1[[#This Row],[QTD]]=0,0,1)</f>
        <v>0</v>
      </c>
    </row>
    <row r="90" spans="18:27" x14ac:dyDescent="0.3">
      <c r="R90" s="32" t="s">
        <v>47</v>
      </c>
      <c r="S90" s="33" t="s">
        <v>49</v>
      </c>
      <c r="T90" s="33">
        <v>122230083</v>
      </c>
      <c r="U90" s="33" t="s">
        <v>48</v>
      </c>
      <c r="V90" s="33" t="s">
        <v>128</v>
      </c>
      <c r="W90" s="33">
        <v>0.34499999999999997</v>
      </c>
      <c r="X90" s="33">
        <f>SUMIFS(Tabela2[QTD],Tabela2[MATERIAL],Tabela1[[#This Row],[MATERIAL]])</f>
        <v>0</v>
      </c>
      <c r="Y90" s="34">
        <f>Tabela1[[#This Row],[QTD]]*Tabela1[[#This Row],[PESO]]</f>
        <v>0</v>
      </c>
      <c r="AA90" s="35">
        <f>IF(Tabela1[[#This Row],[QTD]]=0,0,1)</f>
        <v>0</v>
      </c>
    </row>
    <row r="91" spans="18:27" x14ac:dyDescent="0.3">
      <c r="R91" s="32" t="s">
        <v>47</v>
      </c>
      <c r="S91" s="33" t="s">
        <v>6</v>
      </c>
      <c r="T91" s="33">
        <v>122230097</v>
      </c>
      <c r="U91" s="33" t="s">
        <v>50</v>
      </c>
      <c r="V91" s="33" t="s">
        <v>128</v>
      </c>
      <c r="W91" s="33">
        <v>0.17199999999999999</v>
      </c>
      <c r="X91" s="33">
        <f>SUMIFS(Tabela2[QTD],Tabela2[MATERIAL],Tabela1[[#This Row],[MATERIAL]])</f>
        <v>0</v>
      </c>
      <c r="Y91" s="34">
        <f>Tabela1[[#This Row],[QTD]]*Tabela1[[#This Row],[PESO]]</f>
        <v>0</v>
      </c>
      <c r="AA91" s="35">
        <f>IF(Tabela1[[#This Row],[QTD]]=0,0,1)</f>
        <v>0</v>
      </c>
    </row>
    <row r="92" spans="18:27" x14ac:dyDescent="0.3">
      <c r="R92" s="32" t="s">
        <v>52</v>
      </c>
      <c r="S92" s="33" t="s">
        <v>15</v>
      </c>
      <c r="T92" s="33">
        <v>122030004</v>
      </c>
      <c r="U92" s="33" t="s">
        <v>51</v>
      </c>
      <c r="V92" s="33" t="s">
        <v>10</v>
      </c>
      <c r="W92" s="33">
        <v>1</v>
      </c>
      <c r="X92" s="33">
        <f>SUMIFS(Tabela2[QTD],Tabela2[MATERIAL],Tabela1[[#This Row],[MATERIAL]])</f>
        <v>0</v>
      </c>
      <c r="Y92" s="34">
        <f>Tabela1[[#This Row],[QTD]]*Tabela1[[#This Row],[PESO]]</f>
        <v>0</v>
      </c>
      <c r="AA92" s="35">
        <f>IF(Tabela1[[#This Row],[QTD]]=0,0,1)</f>
        <v>0</v>
      </c>
    </row>
    <row r="93" spans="18:27" x14ac:dyDescent="0.3">
      <c r="R93" s="32" t="s">
        <v>5</v>
      </c>
      <c r="S93" s="33" t="s">
        <v>6</v>
      </c>
      <c r="T93" s="33">
        <v>134010023</v>
      </c>
      <c r="U93" s="33" t="s">
        <v>4</v>
      </c>
      <c r="V93" s="33" t="s">
        <v>128</v>
      </c>
      <c r="W93" s="33">
        <v>0.12</v>
      </c>
      <c r="X93" s="33">
        <f>SUMIFS(Tabela2[QTD],Tabela2[MATERIAL],Tabela1[[#This Row],[MATERIAL]])</f>
        <v>0</v>
      </c>
      <c r="Y93" s="34">
        <f>Tabela1[[#This Row],[QTD]]*Tabela1[[#This Row],[PESO]]</f>
        <v>0</v>
      </c>
      <c r="AA93" s="35">
        <f>IF(Tabela1[[#This Row],[QTD]]=0,0,1)</f>
        <v>0</v>
      </c>
    </row>
    <row r="94" spans="18:27" x14ac:dyDescent="0.3">
      <c r="R94" s="32" t="s">
        <v>54</v>
      </c>
      <c r="S94" s="33" t="s">
        <v>6</v>
      </c>
      <c r="T94" s="33">
        <v>105300003</v>
      </c>
      <c r="U94" s="33" t="s">
        <v>53</v>
      </c>
      <c r="V94" s="33" t="s">
        <v>10</v>
      </c>
      <c r="W94" s="33">
        <v>7.1</v>
      </c>
      <c r="X94" s="33">
        <f>SUMIFS(Tabela2[QTD],Tabela2[MATERIAL],Tabela1[[#This Row],[MATERIAL]])</f>
        <v>0</v>
      </c>
      <c r="Y94" s="34">
        <f>Tabela1[[#This Row],[QTD]]*Tabela1[[#This Row],[PESO]]</f>
        <v>0</v>
      </c>
      <c r="AA94" s="35">
        <f>IF(Tabela1[[#This Row],[QTD]]=0,0,1)</f>
        <v>0</v>
      </c>
    </row>
    <row r="95" spans="18:27" x14ac:dyDescent="0.3">
      <c r="R95" s="32" t="s">
        <v>18</v>
      </c>
      <c r="S95" s="33" t="s">
        <v>15</v>
      </c>
      <c r="T95" s="33">
        <v>122300049</v>
      </c>
      <c r="U95" s="33" t="s">
        <v>55</v>
      </c>
      <c r="V95" s="33" t="s">
        <v>10</v>
      </c>
      <c r="W95" s="33">
        <v>0.47599999999999998</v>
      </c>
      <c r="X95" s="33">
        <f>SUMIFS(Tabela2[QTD],Tabela2[MATERIAL],Tabela1[[#This Row],[MATERIAL]])</f>
        <v>0</v>
      </c>
      <c r="Y95" s="34">
        <f>Tabela1[[#This Row],[QTD]]*Tabela1[[#This Row],[PESO]]</f>
        <v>0</v>
      </c>
      <c r="AA95" s="35">
        <f>IF(Tabela1[[#This Row],[QTD]]=0,0,1)</f>
        <v>0</v>
      </c>
    </row>
    <row r="96" spans="18:27" x14ac:dyDescent="0.3">
      <c r="R96" s="32" t="s">
        <v>18</v>
      </c>
      <c r="S96" s="33" t="s">
        <v>15</v>
      </c>
      <c r="T96" s="33">
        <v>122300015</v>
      </c>
      <c r="U96" s="33" t="s">
        <v>150</v>
      </c>
      <c r="V96" s="33" t="s">
        <v>10</v>
      </c>
      <c r="W96" s="33">
        <v>0.878</v>
      </c>
      <c r="X96" s="33">
        <f>SUMIFS(Tabela2[QTD],Tabela2[MATERIAL],Tabela1[[#This Row],[MATERIAL]])</f>
        <v>0</v>
      </c>
      <c r="Y96" s="34">
        <f>Tabela1[[#This Row],[QTD]]*Tabela1[[#This Row],[PESO]]</f>
        <v>0</v>
      </c>
      <c r="AA96" s="35">
        <f>IF(Tabela1[[#This Row],[QTD]]=0,0,1)</f>
        <v>0</v>
      </c>
    </row>
    <row r="97" spans="18:27" x14ac:dyDescent="0.3">
      <c r="R97" s="32" t="s">
        <v>19</v>
      </c>
      <c r="S97" s="33" t="s">
        <v>15</v>
      </c>
      <c r="T97" s="33">
        <v>122020001</v>
      </c>
      <c r="U97" s="33" t="s">
        <v>56</v>
      </c>
      <c r="V97" s="33" t="s">
        <v>128</v>
      </c>
      <c r="W97" s="33">
        <v>0.1</v>
      </c>
      <c r="X97" s="33">
        <f>SUMIFS(Tabela2[QTD],Tabela2[MATERIAL],Tabela1[[#This Row],[MATERIAL]])</f>
        <v>0</v>
      </c>
      <c r="Y97" s="34">
        <f>Tabela1[[#This Row],[QTD]]*Tabela1[[#This Row],[PESO]]</f>
        <v>0</v>
      </c>
      <c r="AA97" s="35">
        <f>IF(Tabela1[[#This Row],[QTD]]=0,0,1)</f>
        <v>0</v>
      </c>
    </row>
    <row r="98" spans="18:27" x14ac:dyDescent="0.3">
      <c r="R98" s="32" t="s">
        <v>19</v>
      </c>
      <c r="S98" s="33" t="s">
        <v>15</v>
      </c>
      <c r="T98" s="33">
        <v>122020008</v>
      </c>
      <c r="U98" s="33" t="s">
        <v>57</v>
      </c>
      <c r="V98" s="33" t="s">
        <v>10</v>
      </c>
      <c r="W98" s="33">
        <v>1</v>
      </c>
      <c r="X98" s="33">
        <f>SUMIFS(Tabela2[QTD],Tabela2[MATERIAL],Tabela1[[#This Row],[MATERIAL]])</f>
        <v>0</v>
      </c>
      <c r="Y98" s="34">
        <f>Tabela1[[#This Row],[QTD]]*Tabela1[[#This Row],[PESO]]</f>
        <v>0</v>
      </c>
      <c r="AA98" s="35">
        <f>IF(Tabela1[[#This Row],[QTD]]=0,0,1)</f>
        <v>0</v>
      </c>
    </row>
    <row r="99" spans="18:27" x14ac:dyDescent="0.3">
      <c r="R99" s="32" t="s">
        <v>21</v>
      </c>
      <c r="S99" s="33" t="s">
        <v>6</v>
      </c>
      <c r="T99" s="33">
        <v>144010003</v>
      </c>
      <c r="U99" s="33" t="s">
        <v>20</v>
      </c>
      <c r="V99" s="33" t="s">
        <v>128</v>
      </c>
      <c r="W99" s="33">
        <v>0.1</v>
      </c>
      <c r="X99" s="33">
        <f>SUMIFS(Tabela2[QTD],Tabela2[MATERIAL],Tabela1[[#This Row],[MATERIAL]])</f>
        <v>0</v>
      </c>
      <c r="Y99" s="34">
        <f>Tabela1[[#This Row],[QTD]]*Tabela1[[#This Row],[PESO]]</f>
        <v>0</v>
      </c>
      <c r="AA99" s="35">
        <f>IF(Tabela1[[#This Row],[QTD]]=0,0,1)</f>
        <v>0</v>
      </c>
    </row>
    <row r="100" spans="18:27" x14ac:dyDescent="0.3">
      <c r="R100" s="32" t="s">
        <v>23</v>
      </c>
      <c r="S100" s="33" t="s">
        <v>6</v>
      </c>
      <c r="T100" s="33">
        <v>133100007</v>
      </c>
      <c r="U100" s="33" t="s">
        <v>22</v>
      </c>
      <c r="V100" s="33" t="s">
        <v>10</v>
      </c>
      <c r="W100" s="33">
        <v>52</v>
      </c>
      <c r="X100" s="33">
        <f>SUMIFS(Tabela2[QTD],Tabela2[MATERIAL],Tabela1[[#This Row],[MATERIAL]])</f>
        <v>0</v>
      </c>
      <c r="Y100" s="34">
        <f>Tabela1[[#This Row],[QTD]]*Tabela1[[#This Row],[PESO]]</f>
        <v>0</v>
      </c>
      <c r="AA100" s="35">
        <f>IF(Tabela1[[#This Row],[QTD]]=0,0,1)</f>
        <v>0</v>
      </c>
    </row>
    <row r="101" spans="18:27" x14ac:dyDescent="0.3">
      <c r="R101" s="32" t="s">
        <v>25</v>
      </c>
      <c r="S101" s="33" t="s">
        <v>6</v>
      </c>
      <c r="T101" s="33">
        <v>134350002</v>
      </c>
      <c r="U101" s="33" t="s">
        <v>24</v>
      </c>
      <c r="V101" s="33" t="s">
        <v>10</v>
      </c>
      <c r="W101" s="33">
        <v>3.246</v>
      </c>
      <c r="X101" s="33">
        <f>SUMIFS(Tabela2[QTD],Tabela2[MATERIAL],Tabela1[[#This Row],[MATERIAL]])</f>
        <v>0</v>
      </c>
      <c r="Y101" s="34">
        <f>Tabela1[[#This Row],[QTD]]*Tabela1[[#This Row],[PESO]]</f>
        <v>0</v>
      </c>
      <c r="AA101" s="35">
        <f>IF(Tabela1[[#This Row],[QTD]]=0,0,1)</f>
        <v>0</v>
      </c>
    </row>
    <row r="102" spans="18:27" x14ac:dyDescent="0.3">
      <c r="R102" s="32" t="s">
        <v>59</v>
      </c>
      <c r="S102" s="33" t="s">
        <v>6</v>
      </c>
      <c r="T102" s="33">
        <v>134600010</v>
      </c>
      <c r="U102" s="33" t="s">
        <v>58</v>
      </c>
      <c r="V102" s="33" t="s">
        <v>10</v>
      </c>
      <c r="W102" s="33">
        <v>3</v>
      </c>
      <c r="X102" s="33">
        <f>SUMIFS(Tabela2[QTD],Tabela2[MATERIAL],Tabela1[[#This Row],[MATERIAL]])</f>
        <v>0</v>
      </c>
      <c r="Y102" s="34">
        <f>Tabela1[[#This Row],[QTD]]*Tabela1[[#This Row],[PESO]]</f>
        <v>0</v>
      </c>
      <c r="AA102" s="35">
        <f>IF(Tabela1[[#This Row],[QTD]]=0,0,1)</f>
        <v>0</v>
      </c>
    </row>
    <row r="103" spans="18:27" x14ac:dyDescent="0.3">
      <c r="R103" s="32" t="s">
        <v>26</v>
      </c>
      <c r="S103" s="33" t="s">
        <v>6</v>
      </c>
      <c r="T103" s="33">
        <v>123140003</v>
      </c>
      <c r="U103" s="33" t="s">
        <v>60</v>
      </c>
      <c r="V103" s="33" t="s">
        <v>10</v>
      </c>
      <c r="W103" s="33">
        <v>3.5</v>
      </c>
      <c r="X103" s="33">
        <f>SUMIFS(Tabela2[QTD],Tabela2[MATERIAL],Tabela1[[#This Row],[MATERIAL]])</f>
        <v>0</v>
      </c>
      <c r="Y103" s="34">
        <f>Tabela1[[#This Row],[QTD]]*Tabela1[[#This Row],[PESO]]</f>
        <v>0</v>
      </c>
      <c r="AA103" s="35">
        <f>IF(Tabela1[[#This Row],[QTD]]=0,0,1)</f>
        <v>0</v>
      </c>
    </row>
    <row r="104" spans="18:27" x14ac:dyDescent="0.3">
      <c r="R104" s="32" t="s">
        <v>26</v>
      </c>
      <c r="S104" s="33" t="s">
        <v>6</v>
      </c>
      <c r="T104" s="33">
        <v>123140006</v>
      </c>
      <c r="U104" s="33" t="s">
        <v>246</v>
      </c>
      <c r="V104" s="33" t="s">
        <v>10</v>
      </c>
      <c r="W104" s="33">
        <v>9.3330000000000002</v>
      </c>
      <c r="X104" s="33">
        <f>SUMIFS(Tabela2[QTD],Tabela2[MATERIAL],Tabela1[[#This Row],[MATERIAL]])</f>
        <v>0</v>
      </c>
      <c r="Y104" s="34">
        <f>Tabela1[[#This Row],[QTD]]*Tabela1[[#This Row],[PESO]]</f>
        <v>0</v>
      </c>
      <c r="AA104" s="35">
        <f>IF(Tabela1[[#This Row],[QTD]]=0,0,1)</f>
        <v>0</v>
      </c>
    </row>
    <row r="105" spans="18:27" x14ac:dyDescent="0.3">
      <c r="R105" s="32" t="s">
        <v>26</v>
      </c>
      <c r="S105" s="33" t="s">
        <v>6</v>
      </c>
      <c r="T105" s="33">
        <v>123230001</v>
      </c>
      <c r="U105" s="33" t="s">
        <v>27</v>
      </c>
      <c r="V105" s="33" t="s">
        <v>128</v>
      </c>
      <c r="W105" s="33">
        <v>0.6</v>
      </c>
      <c r="X105" s="33">
        <f>SUMIFS(Tabela2[QTD],Tabela2[MATERIAL],Tabela1[[#This Row],[MATERIAL]])</f>
        <v>0</v>
      </c>
      <c r="Y105" s="34">
        <f>Tabela1[[#This Row],[QTD]]*Tabela1[[#This Row],[PESO]]</f>
        <v>0</v>
      </c>
      <c r="AA105" s="35">
        <f>IF(Tabela1[[#This Row],[QTD]]=0,0,1)</f>
        <v>0</v>
      </c>
    </row>
    <row r="106" spans="18:27" x14ac:dyDescent="0.3">
      <c r="R106" s="32" t="s">
        <v>26</v>
      </c>
      <c r="S106" s="33" t="s">
        <v>6</v>
      </c>
      <c r="T106" s="33">
        <v>123230004</v>
      </c>
      <c r="U106" s="33" t="s">
        <v>247</v>
      </c>
      <c r="V106" s="33" t="s">
        <v>128</v>
      </c>
      <c r="W106" s="33">
        <v>0.88</v>
      </c>
      <c r="X106" s="33">
        <f>SUMIFS(Tabela2[QTD],Tabela2[MATERIAL],Tabela1[[#This Row],[MATERIAL]])</f>
        <v>0</v>
      </c>
      <c r="Y106" s="34">
        <f>Tabela1[[#This Row],[QTD]]*Tabela1[[#This Row],[PESO]]</f>
        <v>0</v>
      </c>
      <c r="AA106" s="35">
        <f>IF(Tabela1[[#This Row],[QTD]]=0,0,1)</f>
        <v>0</v>
      </c>
    </row>
    <row r="107" spans="18:27" x14ac:dyDescent="0.3">
      <c r="R107" s="32" t="s">
        <v>119</v>
      </c>
      <c r="S107" s="33" t="s">
        <v>15</v>
      </c>
      <c r="T107" s="33">
        <v>108010022</v>
      </c>
      <c r="U107" s="33" t="s">
        <v>118</v>
      </c>
      <c r="V107" s="33" t="s">
        <v>10</v>
      </c>
      <c r="W107" s="33">
        <v>0.71299999999999997</v>
      </c>
      <c r="X107" s="33">
        <f>SUMIFS(Tabela2[QTD],Tabela2[MATERIAL],Tabela1[[#This Row],[MATERIAL]])</f>
        <v>0</v>
      </c>
      <c r="Y107" s="34">
        <f>Tabela1[[#This Row],[QTD]]*Tabela1[[#This Row],[PESO]]</f>
        <v>0</v>
      </c>
      <c r="AA107" s="35">
        <f>IF(Tabela1[[#This Row],[QTD]]=0,0,1)</f>
        <v>0</v>
      </c>
    </row>
    <row r="108" spans="18:27" x14ac:dyDescent="0.3">
      <c r="R108" s="32" t="s">
        <v>119</v>
      </c>
      <c r="S108" s="33" t="s">
        <v>15</v>
      </c>
      <c r="T108" s="33">
        <v>108010083</v>
      </c>
      <c r="U108" s="33" t="s">
        <v>120</v>
      </c>
      <c r="V108" s="33" t="s">
        <v>128</v>
      </c>
      <c r="W108" s="33">
        <v>0.316</v>
      </c>
      <c r="X108" s="33">
        <f>SUMIFS(Tabela2[QTD],Tabela2[MATERIAL],Tabela1[[#This Row],[MATERIAL]])</f>
        <v>0</v>
      </c>
      <c r="Y108" s="34">
        <f>Tabela1[[#This Row],[QTD]]*Tabela1[[#This Row],[PESO]]</f>
        <v>0</v>
      </c>
      <c r="AA108" s="35">
        <f>IF(Tabela1[[#This Row],[QTD]]=0,0,1)</f>
        <v>0</v>
      </c>
    </row>
    <row r="109" spans="18:27" x14ac:dyDescent="0.3">
      <c r="R109" s="32" t="s">
        <v>104</v>
      </c>
      <c r="S109" s="33" t="s">
        <v>6</v>
      </c>
      <c r="T109" s="33">
        <v>104000004</v>
      </c>
      <c r="U109" s="33" t="s">
        <v>103</v>
      </c>
      <c r="V109" s="33" t="s">
        <v>128</v>
      </c>
      <c r="W109" s="33">
        <v>0.48</v>
      </c>
      <c r="X109" s="33">
        <f>SUMIFS(Tabela2[QTD],Tabela2[MATERIAL],Tabela1[[#This Row],[MATERIAL]])</f>
        <v>0</v>
      </c>
      <c r="Y109" s="34">
        <f>Tabela1[[#This Row],[QTD]]*Tabela1[[#This Row],[PESO]]</f>
        <v>0</v>
      </c>
      <c r="AA109" s="35">
        <f>IF(Tabela1[[#This Row],[QTD]]=0,0,1)</f>
        <v>0</v>
      </c>
    </row>
    <row r="110" spans="18:27" x14ac:dyDescent="0.3">
      <c r="R110" s="32" t="s">
        <v>106</v>
      </c>
      <c r="S110" s="33" t="s">
        <v>6</v>
      </c>
      <c r="T110" s="33">
        <v>104010001</v>
      </c>
      <c r="U110" s="33" t="s">
        <v>105</v>
      </c>
      <c r="V110" s="33" t="s">
        <v>10</v>
      </c>
      <c r="W110" s="33">
        <v>1.5</v>
      </c>
      <c r="X110" s="33">
        <f>SUMIFS(Tabela2[QTD],Tabela2[MATERIAL],Tabela1[[#This Row],[MATERIAL]])</f>
        <v>0</v>
      </c>
      <c r="Y110" s="34">
        <f>Tabela1[[#This Row],[QTD]]*Tabela1[[#This Row],[PESO]]</f>
        <v>0</v>
      </c>
      <c r="AA110" s="35">
        <f>IF(Tabela1[[#This Row],[QTD]]=0,0,1)</f>
        <v>0</v>
      </c>
    </row>
    <row r="111" spans="18:27" x14ac:dyDescent="0.3">
      <c r="R111" s="32" t="s">
        <v>108</v>
      </c>
      <c r="S111" s="33" t="s">
        <v>6</v>
      </c>
      <c r="T111" s="33">
        <v>175110016</v>
      </c>
      <c r="U111" s="33" t="s">
        <v>107</v>
      </c>
      <c r="V111" s="33" t="s">
        <v>128</v>
      </c>
      <c r="W111" s="33">
        <v>0.05</v>
      </c>
      <c r="X111" s="33">
        <f>SUMIFS(Tabela2[QTD],Tabela2[MATERIAL],Tabela1[[#This Row],[MATERIAL]])</f>
        <v>0</v>
      </c>
      <c r="Y111" s="34">
        <f>Tabela1[[#This Row],[QTD]]*Tabela1[[#This Row],[PESO]]</f>
        <v>0</v>
      </c>
      <c r="AA111" s="35">
        <f>IF(Tabela1[[#This Row],[QTD]]=0,0,1)</f>
        <v>0</v>
      </c>
    </row>
    <row r="112" spans="18:27" x14ac:dyDescent="0.3">
      <c r="R112" s="32" t="s">
        <v>14</v>
      </c>
      <c r="S112" s="33" t="s">
        <v>15</v>
      </c>
      <c r="T112" s="33">
        <v>132210019</v>
      </c>
      <c r="U112" s="33" t="s">
        <v>13</v>
      </c>
      <c r="V112" s="33" t="s">
        <v>10</v>
      </c>
      <c r="W112" s="33">
        <v>23.488</v>
      </c>
      <c r="X112" s="33">
        <f>SUMIFS(Tabela2[QTD],Tabela2[MATERIAL],Tabela1[[#This Row],[MATERIAL]])</f>
        <v>0</v>
      </c>
      <c r="Y112" s="34">
        <f>Tabela1[[#This Row],[QTD]]*Tabela1[[#This Row],[PESO]]</f>
        <v>0</v>
      </c>
      <c r="AA112" s="35">
        <f>IF(Tabela1[[#This Row],[QTD]]=0,0,1)</f>
        <v>0</v>
      </c>
    </row>
    <row r="113" spans="18:27" x14ac:dyDescent="0.3">
      <c r="R113" s="32" t="s">
        <v>14</v>
      </c>
      <c r="S113" s="33" t="s">
        <v>15</v>
      </c>
      <c r="T113" s="33">
        <v>132210039</v>
      </c>
      <c r="U113" s="33" t="s">
        <v>16</v>
      </c>
      <c r="V113" s="33" t="s">
        <v>10</v>
      </c>
      <c r="W113" s="33">
        <v>32.643999999999998</v>
      </c>
      <c r="X113" s="33">
        <f>SUMIFS(Tabela2[QTD],Tabela2[MATERIAL],Tabela1[[#This Row],[MATERIAL]])</f>
        <v>0</v>
      </c>
      <c r="Y113" s="34">
        <f>Tabela1[[#This Row],[QTD]]*Tabela1[[#This Row],[PESO]]</f>
        <v>0</v>
      </c>
      <c r="AA113" s="35">
        <f>IF(Tabela1[[#This Row],[QTD]]=0,0,1)</f>
        <v>0</v>
      </c>
    </row>
    <row r="114" spans="18:27" x14ac:dyDescent="0.3">
      <c r="R114" s="32" t="s">
        <v>41</v>
      </c>
      <c r="S114" s="33" t="s">
        <v>15</v>
      </c>
      <c r="T114" s="33">
        <v>133000010</v>
      </c>
      <c r="U114" s="33" t="s">
        <v>111</v>
      </c>
      <c r="V114" s="33" t="s">
        <v>10</v>
      </c>
      <c r="W114" s="33">
        <v>750</v>
      </c>
      <c r="X114" s="33">
        <f>SUMIFS(Tabela2[QTD],Tabela2[MATERIAL],Tabela1[[#This Row],[MATERIAL]])</f>
        <v>0</v>
      </c>
      <c r="Y114" s="34">
        <f>Tabela1[[#This Row],[QTD]]*Tabela1[[#This Row],[PESO]]</f>
        <v>0</v>
      </c>
      <c r="AA114" s="35">
        <f>IF(Tabela1[[#This Row],[QTD]]=0,0,1)</f>
        <v>0</v>
      </c>
    </row>
    <row r="115" spans="18:27" x14ac:dyDescent="0.3">
      <c r="R115" s="32" t="s">
        <v>41</v>
      </c>
      <c r="S115" s="33" t="s">
        <v>15</v>
      </c>
      <c r="T115" s="33">
        <v>133000025</v>
      </c>
      <c r="U115" s="33" t="s">
        <v>42</v>
      </c>
      <c r="V115" s="33" t="s">
        <v>10</v>
      </c>
      <c r="W115" s="33">
        <v>1050</v>
      </c>
      <c r="X115" s="33">
        <f>SUMIFS(Tabela2[QTD],Tabela2[MATERIAL],Tabela1[[#This Row],[MATERIAL]])</f>
        <v>0</v>
      </c>
      <c r="Y115" s="34">
        <f>Tabela1[[#This Row],[QTD]]*Tabela1[[#This Row],[PESO]]</f>
        <v>0</v>
      </c>
      <c r="AA115" s="35">
        <f>IF(Tabela1[[#This Row],[QTD]]=0,0,1)</f>
        <v>0</v>
      </c>
    </row>
    <row r="116" spans="18:27" x14ac:dyDescent="0.3">
      <c r="R116" s="32" t="s">
        <v>41</v>
      </c>
      <c r="S116" s="33" t="s">
        <v>15</v>
      </c>
      <c r="T116" s="33">
        <v>133000033</v>
      </c>
      <c r="U116" s="33" t="s">
        <v>112</v>
      </c>
      <c r="V116" s="33" t="s">
        <v>10</v>
      </c>
      <c r="W116" s="33">
        <v>1200</v>
      </c>
      <c r="X116" s="33">
        <f>SUMIFS(Tabela2[QTD],Tabela2[MATERIAL],Tabela1[[#This Row],[MATERIAL]])</f>
        <v>0</v>
      </c>
      <c r="Y116" s="34">
        <f>Tabela1[[#This Row],[QTD]]*Tabela1[[#This Row],[PESO]]</f>
        <v>0</v>
      </c>
      <c r="AA116" s="35">
        <f>IF(Tabela1[[#This Row],[QTD]]=0,0,1)</f>
        <v>0</v>
      </c>
    </row>
    <row r="117" spans="18:27" x14ac:dyDescent="0.3">
      <c r="R117" s="32" t="s">
        <v>122</v>
      </c>
      <c r="S117" s="33" t="s">
        <v>15</v>
      </c>
      <c r="T117" s="33">
        <v>122270001</v>
      </c>
      <c r="U117" s="33" t="s">
        <v>121</v>
      </c>
      <c r="V117" s="33" t="s">
        <v>10</v>
      </c>
      <c r="W117" s="33">
        <v>9.2999999999999999E-2</v>
      </c>
      <c r="X117" s="33">
        <f>SUMIFS(Tabela2[QTD],Tabela2[MATERIAL],Tabela1[[#This Row],[MATERIAL]])</f>
        <v>0</v>
      </c>
      <c r="Y117" s="34">
        <f>Tabela1[[#This Row],[QTD]]*Tabela1[[#This Row],[PESO]]</f>
        <v>0</v>
      </c>
      <c r="AA117" s="35">
        <f>IF(Tabela1[[#This Row],[QTD]]=0,0,1)</f>
        <v>0</v>
      </c>
    </row>
    <row r="118" spans="18:27" x14ac:dyDescent="0.3">
      <c r="R118" s="32" t="s">
        <v>122</v>
      </c>
      <c r="S118" s="33" t="s">
        <v>15</v>
      </c>
      <c r="T118" s="33">
        <v>122300001</v>
      </c>
      <c r="U118" s="33" t="s">
        <v>123</v>
      </c>
      <c r="V118" s="33" t="s">
        <v>128</v>
      </c>
      <c r="W118" s="33">
        <v>7.1999999999999995E-2</v>
      </c>
      <c r="X118" s="33">
        <f>SUMIFS(Tabela2[QTD],Tabela2[MATERIAL],Tabela1[[#This Row],[MATERIAL]])</f>
        <v>0</v>
      </c>
      <c r="Y118" s="34">
        <f>Tabela1[[#This Row],[QTD]]*Tabela1[[#This Row],[PESO]]</f>
        <v>0</v>
      </c>
      <c r="AA118" s="35">
        <f>IF(Tabela1[[#This Row],[QTD]]=0,0,1)</f>
        <v>0</v>
      </c>
    </row>
    <row r="119" spans="18:27" x14ac:dyDescent="0.3">
      <c r="R119" s="32" t="s">
        <v>122</v>
      </c>
      <c r="S119" s="33" t="s">
        <v>15</v>
      </c>
      <c r="T119" s="33">
        <v>122300010</v>
      </c>
      <c r="U119" s="33" t="s">
        <v>124</v>
      </c>
      <c r="V119" s="33" t="s">
        <v>128</v>
      </c>
      <c r="W119" s="33">
        <v>0.217</v>
      </c>
      <c r="X119" s="33">
        <f>SUMIFS(Tabela2[QTD],Tabela2[MATERIAL],Tabela1[[#This Row],[MATERIAL]])</f>
        <v>0</v>
      </c>
      <c r="Y119" s="34">
        <f>Tabela1[[#This Row],[QTD]]*Tabela1[[#This Row],[PESO]]</f>
        <v>0</v>
      </c>
      <c r="AA119" s="35">
        <f>IF(Tabela1[[#This Row],[QTD]]=0,0,1)</f>
        <v>0</v>
      </c>
    </row>
    <row r="120" spans="18:27" x14ac:dyDescent="0.3">
      <c r="R120" s="32" t="s">
        <v>44</v>
      </c>
      <c r="S120" s="33" t="s">
        <v>15</v>
      </c>
      <c r="T120" s="33">
        <v>102100057</v>
      </c>
      <c r="U120" s="33" t="s">
        <v>43</v>
      </c>
      <c r="V120" s="33" t="s">
        <v>10</v>
      </c>
      <c r="W120" s="33">
        <v>136</v>
      </c>
      <c r="X120" s="33">
        <f>SUMIFS(Tabela2[QTD],Tabela2[MATERIAL],Tabela1[[#This Row],[MATERIAL]])</f>
        <v>0</v>
      </c>
      <c r="Y120" s="34">
        <f>Tabela1[[#This Row],[QTD]]*Tabela1[[#This Row],[PESO]]</f>
        <v>0</v>
      </c>
      <c r="AA120" s="35">
        <f>IF(Tabela1[[#This Row],[QTD]]=0,0,1)</f>
        <v>0</v>
      </c>
    </row>
    <row r="121" spans="18:27" x14ac:dyDescent="0.3">
      <c r="R121" s="32" t="s">
        <v>44</v>
      </c>
      <c r="S121" s="33" t="s">
        <v>15</v>
      </c>
      <c r="T121" s="33">
        <v>102100011</v>
      </c>
      <c r="U121" s="33" t="s">
        <v>113</v>
      </c>
      <c r="V121" s="33" t="s">
        <v>10</v>
      </c>
      <c r="W121" s="33">
        <v>359</v>
      </c>
      <c r="X121" s="33">
        <f>SUMIFS(Tabela2[QTD],Tabela2[MATERIAL],Tabela1[[#This Row],[MATERIAL]])</f>
        <v>0</v>
      </c>
      <c r="Y121" s="34">
        <f>Tabela1[[#This Row],[QTD]]*Tabela1[[#This Row],[PESO]]</f>
        <v>0</v>
      </c>
      <c r="AA121" s="35">
        <f>IF(Tabela1[[#This Row],[QTD]]=0,0,1)</f>
        <v>0</v>
      </c>
    </row>
    <row r="122" spans="18:27" x14ac:dyDescent="0.3">
      <c r="R122" s="32" t="s">
        <v>44</v>
      </c>
      <c r="S122" s="33" t="s">
        <v>15</v>
      </c>
      <c r="T122" s="33">
        <v>102100054</v>
      </c>
      <c r="U122" s="33" t="s">
        <v>114</v>
      </c>
      <c r="V122" s="33" t="s">
        <v>10</v>
      </c>
      <c r="W122" s="33">
        <v>172</v>
      </c>
      <c r="X122" s="33">
        <f>SUMIFS(Tabela2[QTD],Tabela2[MATERIAL],Tabela1[[#This Row],[MATERIAL]])</f>
        <v>0</v>
      </c>
      <c r="Y122" s="34">
        <f>Tabela1[[#This Row],[QTD]]*Tabela1[[#This Row],[PESO]]</f>
        <v>0</v>
      </c>
      <c r="AA122" s="35">
        <f>IF(Tabela1[[#This Row],[QTD]]=0,0,1)</f>
        <v>0</v>
      </c>
    </row>
    <row r="123" spans="18:27" x14ac:dyDescent="0.3">
      <c r="R123" s="32" t="s">
        <v>8</v>
      </c>
      <c r="S123" s="33" t="s">
        <v>6</v>
      </c>
      <c r="T123" s="33">
        <v>134830013</v>
      </c>
      <c r="U123" s="33" t="s">
        <v>7</v>
      </c>
      <c r="V123" s="33" t="s">
        <v>128</v>
      </c>
      <c r="W123" s="33">
        <v>0.02</v>
      </c>
      <c r="X123" s="33">
        <f>SUMIFS(Tabela2[QTD],Tabela2[MATERIAL],Tabela1[[#This Row],[MATERIAL]])</f>
        <v>0</v>
      </c>
      <c r="Y123" s="34">
        <f>Tabela1[[#This Row],[QTD]]*Tabela1[[#This Row],[PESO]]</f>
        <v>0</v>
      </c>
      <c r="AA123" s="35">
        <f>IF(Tabela1[[#This Row],[QTD]]=0,0,1)</f>
        <v>0</v>
      </c>
    </row>
    <row r="124" spans="18:27" x14ac:dyDescent="0.3">
      <c r="R124" s="32" t="s">
        <v>8</v>
      </c>
      <c r="S124" s="33" t="s">
        <v>6</v>
      </c>
      <c r="T124" s="33">
        <v>122050003</v>
      </c>
      <c r="U124" s="33" t="s">
        <v>9</v>
      </c>
      <c r="V124" s="33" t="s">
        <v>128</v>
      </c>
      <c r="W124" s="33">
        <v>0.1</v>
      </c>
      <c r="X124" s="33">
        <f>SUMIFS(Tabela2[QTD],Tabela2[MATERIAL],Tabela1[[#This Row],[MATERIAL]])</f>
        <v>0</v>
      </c>
      <c r="Y124" s="34">
        <f>Tabela1[[#This Row],[QTD]]*Tabela1[[#This Row],[PESO]]</f>
        <v>0</v>
      </c>
      <c r="AA124" s="35">
        <f>IF(Tabela1[[#This Row],[QTD]]=0,0,1)</f>
        <v>0</v>
      </c>
    </row>
    <row r="125" spans="18:27" x14ac:dyDescent="0.3">
      <c r="R125" s="32" t="s">
        <v>8</v>
      </c>
      <c r="S125" s="33" t="s">
        <v>6</v>
      </c>
      <c r="T125" s="33">
        <v>134300026</v>
      </c>
      <c r="U125" s="33" t="s">
        <v>11</v>
      </c>
      <c r="V125" s="33" t="s">
        <v>128</v>
      </c>
      <c r="W125" s="33">
        <v>0.03</v>
      </c>
      <c r="X125" s="33">
        <f>SUMIFS(Tabela2[QTD],Tabela2[MATERIAL],Tabela1[[#This Row],[MATERIAL]])</f>
        <v>0</v>
      </c>
      <c r="Y125" s="34">
        <f>Tabela1[[#This Row],[QTD]]*Tabela1[[#This Row],[PESO]]</f>
        <v>0</v>
      </c>
      <c r="AA125" s="35">
        <f>IF(Tabela1[[#This Row],[QTD]]=0,0,1)</f>
        <v>0</v>
      </c>
    </row>
    <row r="126" spans="18:27" x14ac:dyDescent="0.3">
      <c r="R126" s="32" t="s">
        <v>8</v>
      </c>
      <c r="S126" s="33" t="s">
        <v>6</v>
      </c>
      <c r="T126" s="33">
        <v>103000003</v>
      </c>
      <c r="U126" s="33" t="s">
        <v>12</v>
      </c>
      <c r="V126" s="33" t="s">
        <v>128</v>
      </c>
      <c r="W126" s="33">
        <v>0.114</v>
      </c>
      <c r="X126" s="33">
        <f>SUMIFS(Tabela2[QTD],Tabela2[MATERIAL],Tabela1[[#This Row],[MATERIAL]])</f>
        <v>0</v>
      </c>
      <c r="Y126" s="34">
        <f>Tabela1[[#This Row],[QTD]]*Tabela1[[#This Row],[PESO]]</f>
        <v>0</v>
      </c>
      <c r="AA126" s="35">
        <f>IF(Tabela1[[#This Row],[QTD]]=0,0,1)</f>
        <v>0</v>
      </c>
    </row>
    <row r="127" spans="18:27" x14ac:dyDescent="0.3">
      <c r="R127" s="32" t="s">
        <v>8</v>
      </c>
      <c r="S127" s="33" t="s">
        <v>6</v>
      </c>
      <c r="T127" s="33">
        <v>105360004</v>
      </c>
      <c r="U127" s="33" t="s">
        <v>61</v>
      </c>
      <c r="V127" s="33" t="s">
        <v>128</v>
      </c>
      <c r="W127" s="33">
        <v>2.8000000000000001E-2</v>
      </c>
      <c r="X127" s="33">
        <f>SUMIFS(Tabela2[QTD],Tabela2[MATERIAL],Tabela1[[#This Row],[MATERIAL]])</f>
        <v>0</v>
      </c>
      <c r="Y127" s="34">
        <f>Tabela1[[#This Row],[QTD]]*Tabela1[[#This Row],[PESO]]</f>
        <v>0</v>
      </c>
      <c r="AA127" s="35">
        <f>IF(Tabela1[[#This Row],[QTD]]=0,0,1)</f>
        <v>0</v>
      </c>
    </row>
    <row r="128" spans="18:27" x14ac:dyDescent="0.3">
      <c r="R128" s="32" t="s">
        <v>8</v>
      </c>
      <c r="S128" s="33" t="s">
        <v>6</v>
      </c>
      <c r="T128" s="33">
        <v>124120002</v>
      </c>
      <c r="U128" s="33" t="s">
        <v>62</v>
      </c>
      <c r="V128" s="33" t="s">
        <v>128</v>
      </c>
      <c r="W128" s="33">
        <v>0.13200000000000001</v>
      </c>
      <c r="X128" s="33">
        <f>SUMIFS(Tabela2[QTD],Tabela2[MATERIAL],Tabela1[[#This Row],[MATERIAL]])</f>
        <v>0</v>
      </c>
      <c r="Y128" s="34">
        <f>Tabela1[[#This Row],[QTD]]*Tabela1[[#This Row],[PESO]]</f>
        <v>0</v>
      </c>
      <c r="AA128" s="35">
        <f>IF(Tabela1[[#This Row],[QTD]]=0,0,1)</f>
        <v>0</v>
      </c>
    </row>
    <row r="129" spans="18:27" x14ac:dyDescent="0.3">
      <c r="R129" s="32" t="s">
        <v>8</v>
      </c>
      <c r="S129" s="33" t="s">
        <v>6</v>
      </c>
      <c r="T129" s="33">
        <v>124120005</v>
      </c>
      <c r="U129" s="33" t="s">
        <v>63</v>
      </c>
      <c r="V129" s="33" t="s">
        <v>128</v>
      </c>
      <c r="W129" s="33">
        <v>0.123</v>
      </c>
      <c r="X129" s="33">
        <f>SUMIFS(Tabela2[QTD],Tabela2[MATERIAL],Tabela1[[#This Row],[MATERIAL]])</f>
        <v>0</v>
      </c>
      <c r="Y129" s="34">
        <f>Tabela1[[#This Row],[QTD]]*Tabela1[[#This Row],[PESO]]</f>
        <v>0</v>
      </c>
      <c r="AA129" s="35">
        <f>IF(Tabela1[[#This Row],[QTD]]=0,0,1)</f>
        <v>0</v>
      </c>
    </row>
    <row r="130" spans="18:27" x14ac:dyDescent="0.3">
      <c r="R130" s="32" t="s">
        <v>8</v>
      </c>
      <c r="S130" s="33" t="s">
        <v>6</v>
      </c>
      <c r="T130" s="33">
        <v>126600002</v>
      </c>
      <c r="U130" s="33" t="s">
        <v>28</v>
      </c>
      <c r="V130" s="33" t="s">
        <v>128</v>
      </c>
      <c r="W130" s="33">
        <v>0.09</v>
      </c>
      <c r="X130" s="33">
        <f>SUMIFS(Tabela2[QTD],Tabela2[MATERIAL],Tabela1[[#This Row],[MATERIAL]])</f>
        <v>0</v>
      </c>
      <c r="Y130" s="34">
        <f>Tabela1[[#This Row],[QTD]]*Tabela1[[#This Row],[PESO]]</f>
        <v>0</v>
      </c>
      <c r="AA130" s="35">
        <f>IF(Tabela1[[#This Row],[QTD]]=0,0,1)</f>
        <v>0</v>
      </c>
    </row>
    <row r="131" spans="18:27" x14ac:dyDescent="0.3">
      <c r="R131" s="32" t="s">
        <v>8</v>
      </c>
      <c r="S131" s="33" t="s">
        <v>6</v>
      </c>
      <c r="T131" s="33">
        <v>126600003</v>
      </c>
      <c r="U131" s="33" t="s">
        <v>64</v>
      </c>
      <c r="V131" s="33" t="s">
        <v>128</v>
      </c>
      <c r="W131" s="33">
        <v>0.3</v>
      </c>
      <c r="X131" s="33">
        <f>SUMIFS(Tabela2[QTD],Tabela2[MATERIAL],Tabela1[[#This Row],[MATERIAL]])</f>
        <v>0</v>
      </c>
      <c r="Y131" s="34">
        <f>Tabela1[[#This Row],[QTD]]*Tabela1[[#This Row],[PESO]]</f>
        <v>0</v>
      </c>
      <c r="AA131" s="35">
        <f>IF(Tabela1[[#This Row],[QTD]]=0,0,1)</f>
        <v>0</v>
      </c>
    </row>
    <row r="132" spans="18:27" x14ac:dyDescent="0.3">
      <c r="R132" s="32" t="s">
        <v>8</v>
      </c>
      <c r="S132" s="33" t="s">
        <v>6</v>
      </c>
      <c r="T132" s="33">
        <v>134170001</v>
      </c>
      <c r="U132" s="33" t="s">
        <v>65</v>
      </c>
      <c r="V132" s="33" t="s">
        <v>128</v>
      </c>
      <c r="W132" s="33">
        <v>0.7</v>
      </c>
      <c r="X132" s="33">
        <f>SUMIFS(Tabela2[QTD],Tabela2[MATERIAL],Tabela1[[#This Row],[MATERIAL]])</f>
        <v>0</v>
      </c>
      <c r="Y132" s="34">
        <f>Tabela1[[#This Row],[QTD]]*Tabela1[[#This Row],[PESO]]</f>
        <v>0</v>
      </c>
      <c r="AA132" s="35">
        <f>IF(Tabela1[[#This Row],[QTD]]=0,0,1)</f>
        <v>0</v>
      </c>
    </row>
    <row r="133" spans="18:27" x14ac:dyDescent="0.3">
      <c r="R133" s="32" t="s">
        <v>8</v>
      </c>
      <c r="S133" s="33" t="s">
        <v>6</v>
      </c>
      <c r="T133" s="33">
        <v>134210001</v>
      </c>
      <c r="U133" s="33" t="s">
        <v>29</v>
      </c>
      <c r="V133" s="33" t="s">
        <v>128</v>
      </c>
      <c r="W133" s="33">
        <v>0.7</v>
      </c>
      <c r="X133" s="33">
        <f>SUMIFS(Tabela2[QTD],Tabela2[MATERIAL],Tabela1[[#This Row],[MATERIAL]])</f>
        <v>0</v>
      </c>
      <c r="Y133" s="34">
        <f>Tabela1[[#This Row],[QTD]]*Tabela1[[#This Row],[PESO]]</f>
        <v>0</v>
      </c>
      <c r="AA133" s="35">
        <f>IF(Tabela1[[#This Row],[QTD]]=0,0,1)</f>
        <v>0</v>
      </c>
    </row>
    <row r="134" spans="18:27" x14ac:dyDescent="0.3">
      <c r="R134" s="32" t="s">
        <v>8</v>
      </c>
      <c r="S134" s="33" t="s">
        <v>6</v>
      </c>
      <c r="T134" s="33">
        <v>134280005</v>
      </c>
      <c r="U134" s="33" t="s">
        <v>66</v>
      </c>
      <c r="V134" s="33" t="s">
        <v>128</v>
      </c>
      <c r="W134" s="33">
        <v>0.35</v>
      </c>
      <c r="X134" s="33">
        <f>SUMIFS(Tabela2[QTD],Tabela2[MATERIAL],Tabela1[[#This Row],[MATERIAL]])</f>
        <v>0</v>
      </c>
      <c r="Y134" s="34">
        <f>Tabela1[[#This Row],[QTD]]*Tabela1[[#This Row],[PESO]]</f>
        <v>0</v>
      </c>
      <c r="AA134" s="35">
        <f>IF(Tabela1[[#This Row],[QTD]]=0,0,1)</f>
        <v>0</v>
      </c>
    </row>
    <row r="135" spans="18:27" x14ac:dyDescent="0.3">
      <c r="R135" s="32" t="s">
        <v>8</v>
      </c>
      <c r="S135" s="33" t="s">
        <v>6</v>
      </c>
      <c r="T135" s="33">
        <v>134300033</v>
      </c>
      <c r="U135" s="33" t="s">
        <v>30</v>
      </c>
      <c r="V135" s="33" t="s">
        <v>128</v>
      </c>
      <c r="W135" s="33">
        <v>0.36</v>
      </c>
      <c r="X135" s="33">
        <f>SUMIFS(Tabela2[QTD],Tabela2[MATERIAL],Tabela1[[#This Row],[MATERIAL]])</f>
        <v>0</v>
      </c>
      <c r="Y135" s="34">
        <f>Tabela1[[#This Row],[QTD]]*Tabela1[[#This Row],[PESO]]</f>
        <v>0</v>
      </c>
      <c r="AA135" s="35">
        <f>IF(Tabela1[[#This Row],[QTD]]=0,0,1)</f>
        <v>0</v>
      </c>
    </row>
    <row r="136" spans="18:27" x14ac:dyDescent="0.3">
      <c r="R136" s="32" t="s">
        <v>8</v>
      </c>
      <c r="S136" s="33" t="s">
        <v>6</v>
      </c>
      <c r="T136" s="33">
        <v>134700028</v>
      </c>
      <c r="U136" s="33" t="s">
        <v>67</v>
      </c>
      <c r="V136" s="33" t="s">
        <v>128</v>
      </c>
      <c r="W136" s="33">
        <v>0.1</v>
      </c>
      <c r="X136" s="33">
        <f>SUMIFS(Tabela2[QTD],Tabela2[MATERIAL],Tabela1[[#This Row],[MATERIAL]])</f>
        <v>0</v>
      </c>
      <c r="Y136" s="34">
        <f>Tabela1[[#This Row],[QTD]]*Tabela1[[#This Row],[PESO]]</f>
        <v>0</v>
      </c>
      <c r="AA136" s="35">
        <f>IF(Tabela1[[#This Row],[QTD]]=0,0,1)</f>
        <v>0</v>
      </c>
    </row>
    <row r="137" spans="18:27" x14ac:dyDescent="0.3">
      <c r="R137" s="32" t="s">
        <v>8</v>
      </c>
      <c r="S137" s="33" t="s">
        <v>6</v>
      </c>
      <c r="T137" s="33">
        <v>134700043</v>
      </c>
      <c r="U137" s="33" t="s">
        <v>68</v>
      </c>
      <c r="V137" s="33" t="s">
        <v>128</v>
      </c>
      <c r="W137" s="33">
        <v>0.38</v>
      </c>
      <c r="X137" s="33">
        <f>SUMIFS(Tabela2[QTD],Tabela2[MATERIAL],Tabela1[[#This Row],[MATERIAL]])</f>
        <v>0</v>
      </c>
      <c r="Y137" s="34">
        <f>Tabela1[[#This Row],[QTD]]*Tabela1[[#This Row],[PESO]]</f>
        <v>0</v>
      </c>
      <c r="AA137" s="35">
        <f>IF(Tabela1[[#This Row],[QTD]]=0,0,1)</f>
        <v>0</v>
      </c>
    </row>
    <row r="138" spans="18:27" x14ac:dyDescent="0.3">
      <c r="R138" s="32" t="s">
        <v>8</v>
      </c>
      <c r="S138" s="33" t="s">
        <v>6</v>
      </c>
      <c r="T138" s="33">
        <v>134700046</v>
      </c>
      <c r="U138" s="33" t="s">
        <v>69</v>
      </c>
      <c r="V138" s="33" t="s">
        <v>128</v>
      </c>
      <c r="W138" s="33">
        <v>0.44900000000000001</v>
      </c>
      <c r="X138" s="33">
        <f>SUMIFS(Tabela2[QTD],Tabela2[MATERIAL],Tabela1[[#This Row],[MATERIAL]])</f>
        <v>0</v>
      </c>
      <c r="Y138" s="34">
        <f>Tabela1[[#This Row],[QTD]]*Tabela1[[#This Row],[PESO]]</f>
        <v>0</v>
      </c>
      <c r="AA138" s="35">
        <f>IF(Tabela1[[#This Row],[QTD]]=0,0,1)</f>
        <v>0</v>
      </c>
    </row>
    <row r="139" spans="18:27" x14ac:dyDescent="0.3">
      <c r="R139" s="32" t="s">
        <v>8</v>
      </c>
      <c r="S139" s="33" t="s">
        <v>6</v>
      </c>
      <c r="T139" s="33">
        <v>134700047</v>
      </c>
      <c r="U139" s="33" t="s">
        <v>31</v>
      </c>
      <c r="V139" s="33" t="s">
        <v>128</v>
      </c>
      <c r="W139" s="33">
        <v>0.5</v>
      </c>
      <c r="X139" s="33">
        <f>SUMIFS(Tabela2[QTD],Tabela2[MATERIAL],Tabela1[[#This Row],[MATERIAL]])</f>
        <v>0</v>
      </c>
      <c r="Y139" s="34">
        <f>Tabela1[[#This Row],[QTD]]*Tabela1[[#This Row],[PESO]]</f>
        <v>0</v>
      </c>
      <c r="AA139" s="35">
        <f>IF(Tabela1[[#This Row],[QTD]]=0,0,1)</f>
        <v>0</v>
      </c>
    </row>
    <row r="140" spans="18:27" x14ac:dyDescent="0.3">
      <c r="R140" s="32" t="s">
        <v>8</v>
      </c>
      <c r="S140" s="33" t="s">
        <v>6</v>
      </c>
      <c r="T140" s="33">
        <v>134700049</v>
      </c>
      <c r="U140" s="33" t="s">
        <v>70</v>
      </c>
      <c r="V140" s="33" t="s">
        <v>128</v>
      </c>
      <c r="W140" s="33">
        <v>0.7</v>
      </c>
      <c r="X140" s="33">
        <f>SUMIFS(Tabela2[QTD],Tabela2[MATERIAL],Tabela1[[#This Row],[MATERIAL]])</f>
        <v>0</v>
      </c>
      <c r="Y140" s="34">
        <f>Tabela1[[#This Row],[QTD]]*Tabela1[[#This Row],[PESO]]</f>
        <v>0</v>
      </c>
      <c r="AA140" s="35">
        <f>IF(Tabela1[[#This Row],[QTD]]=0,0,1)</f>
        <v>0</v>
      </c>
    </row>
    <row r="141" spans="18:27" x14ac:dyDescent="0.3">
      <c r="R141" s="32" t="s">
        <v>8</v>
      </c>
      <c r="S141" s="33" t="s">
        <v>6</v>
      </c>
      <c r="T141" s="33">
        <v>134740001</v>
      </c>
      <c r="U141" s="33" t="s">
        <v>71</v>
      </c>
      <c r="V141" s="33" t="s">
        <v>128</v>
      </c>
      <c r="W141" s="33">
        <v>0.8</v>
      </c>
      <c r="X141" s="33">
        <f>SUMIFS(Tabela2[QTD],Tabela2[MATERIAL],Tabela1[[#This Row],[MATERIAL]])</f>
        <v>0</v>
      </c>
      <c r="Y141" s="34">
        <f>Tabela1[[#This Row],[QTD]]*Tabela1[[#This Row],[PESO]]</f>
        <v>0</v>
      </c>
      <c r="AA141" s="35">
        <f>IF(Tabela1[[#This Row],[QTD]]=0,0,1)</f>
        <v>0</v>
      </c>
    </row>
    <row r="142" spans="18:27" x14ac:dyDescent="0.3">
      <c r="R142" s="32" t="s">
        <v>8</v>
      </c>
      <c r="S142" s="33" t="s">
        <v>6</v>
      </c>
      <c r="T142" s="33">
        <v>134740024</v>
      </c>
      <c r="U142" s="33" t="s">
        <v>72</v>
      </c>
      <c r="V142" s="33" t="s">
        <v>128</v>
      </c>
      <c r="W142" s="33">
        <v>0.73499999999999999</v>
      </c>
      <c r="X142" s="33">
        <f>SUMIFS(Tabela2[QTD],Tabela2[MATERIAL],Tabela1[[#This Row],[MATERIAL]])</f>
        <v>0</v>
      </c>
      <c r="Y142" s="34">
        <f>Tabela1[[#This Row],[QTD]]*Tabela1[[#This Row],[PESO]]</f>
        <v>0</v>
      </c>
      <c r="AA142" s="35">
        <f>IF(Tabela1[[#This Row],[QTD]]=0,0,1)</f>
        <v>0</v>
      </c>
    </row>
    <row r="143" spans="18:27" x14ac:dyDescent="0.3">
      <c r="R143" s="32" t="s">
        <v>8</v>
      </c>
      <c r="S143" s="33" t="s">
        <v>6</v>
      </c>
      <c r="T143" s="33">
        <v>134800002</v>
      </c>
      <c r="U143" s="33" t="s">
        <v>32</v>
      </c>
      <c r="V143" s="33" t="s">
        <v>128</v>
      </c>
      <c r="W143" s="33">
        <v>0.36</v>
      </c>
      <c r="X143" s="33">
        <f>SUMIFS(Tabela2[QTD],Tabela2[MATERIAL],Tabela1[[#This Row],[MATERIAL]])</f>
        <v>0</v>
      </c>
      <c r="Y143" s="34">
        <f>Tabela1[[#This Row],[QTD]]*Tabela1[[#This Row],[PESO]]</f>
        <v>0</v>
      </c>
      <c r="AA143" s="35">
        <f>IF(Tabela1[[#This Row],[QTD]]=0,0,1)</f>
        <v>0</v>
      </c>
    </row>
    <row r="144" spans="18:27" x14ac:dyDescent="0.3">
      <c r="R144" s="32" t="s">
        <v>8</v>
      </c>
      <c r="S144" s="33" t="s">
        <v>6</v>
      </c>
      <c r="T144" s="33">
        <v>134830015</v>
      </c>
      <c r="U144" s="33" t="s">
        <v>33</v>
      </c>
      <c r="V144" s="33" t="s">
        <v>128</v>
      </c>
      <c r="W144" s="33">
        <v>0.04</v>
      </c>
      <c r="X144" s="33">
        <f>SUMIFS(Tabela2[QTD],Tabela2[MATERIAL],Tabela1[[#This Row],[MATERIAL]])</f>
        <v>0</v>
      </c>
      <c r="Y144" s="34">
        <f>Tabela1[[#This Row],[QTD]]*Tabela1[[#This Row],[PESO]]</f>
        <v>0</v>
      </c>
      <c r="AA144" s="35">
        <f>IF(Tabela1[[#This Row],[QTD]]=0,0,1)</f>
        <v>0</v>
      </c>
    </row>
    <row r="145" spans="18:27" x14ac:dyDescent="0.3">
      <c r="R145" s="32" t="s">
        <v>8</v>
      </c>
      <c r="S145" s="33" t="s">
        <v>6</v>
      </c>
      <c r="T145" s="33">
        <v>134860002</v>
      </c>
      <c r="U145" s="33" t="s">
        <v>73</v>
      </c>
      <c r="V145" s="33" t="s">
        <v>128</v>
      </c>
      <c r="W145" s="33">
        <v>0.36199999999999999</v>
      </c>
      <c r="X145" s="33">
        <f>SUMIFS(Tabela2[QTD],Tabela2[MATERIAL],Tabela1[[#This Row],[MATERIAL]])</f>
        <v>0</v>
      </c>
      <c r="Y145" s="34">
        <f>Tabela1[[#This Row],[QTD]]*Tabela1[[#This Row],[PESO]]</f>
        <v>0</v>
      </c>
      <c r="AA145" s="35">
        <f>IF(Tabela1[[#This Row],[QTD]]=0,0,1)</f>
        <v>0</v>
      </c>
    </row>
    <row r="146" spans="18:27" x14ac:dyDescent="0.3">
      <c r="R146" s="32" t="s">
        <v>8</v>
      </c>
      <c r="S146" s="33" t="s">
        <v>6</v>
      </c>
      <c r="T146" s="33">
        <v>135220009</v>
      </c>
      <c r="U146" s="33" t="s">
        <v>34</v>
      </c>
      <c r="V146" s="33" t="s">
        <v>128</v>
      </c>
      <c r="W146" s="33">
        <v>5.0000000000000001E-3</v>
      </c>
      <c r="X146" s="33">
        <f>SUMIFS(Tabela2[QTD],Tabela2[MATERIAL],Tabela1[[#This Row],[MATERIAL]])</f>
        <v>0</v>
      </c>
      <c r="Y146" s="34">
        <f>Tabela1[[#This Row],[QTD]]*Tabela1[[#This Row],[PESO]]</f>
        <v>0</v>
      </c>
      <c r="AA146" s="35">
        <f>IF(Tabela1[[#This Row],[QTD]]=0,0,1)</f>
        <v>0</v>
      </c>
    </row>
    <row r="147" spans="18:27" x14ac:dyDescent="0.3">
      <c r="R147" s="32" t="s">
        <v>8</v>
      </c>
      <c r="S147" s="33" t="s">
        <v>6</v>
      </c>
      <c r="T147" s="33">
        <v>150400014</v>
      </c>
      <c r="U147" s="33" t="s">
        <v>74</v>
      </c>
      <c r="V147" s="33" t="s">
        <v>128</v>
      </c>
      <c r="W147" s="33">
        <v>0.19</v>
      </c>
      <c r="X147" s="33">
        <f>SUMIFS(Tabela2[QTD],Tabela2[MATERIAL],Tabela1[[#This Row],[MATERIAL]])</f>
        <v>0</v>
      </c>
      <c r="Y147" s="34">
        <f>Tabela1[[#This Row],[QTD]]*Tabela1[[#This Row],[PESO]]</f>
        <v>0</v>
      </c>
      <c r="AA147" s="35">
        <f>IF(Tabela1[[#This Row],[QTD]]=0,0,1)</f>
        <v>0</v>
      </c>
    </row>
    <row r="148" spans="18:27" x14ac:dyDescent="0.3">
      <c r="R148" s="32" t="s">
        <v>8</v>
      </c>
      <c r="S148" s="33" t="s">
        <v>6</v>
      </c>
      <c r="T148" s="33">
        <v>134200006</v>
      </c>
      <c r="U148" s="33" t="s">
        <v>35</v>
      </c>
      <c r="V148" s="33" t="s">
        <v>128</v>
      </c>
      <c r="W148" s="33">
        <v>0.45</v>
      </c>
      <c r="X148" s="33">
        <f>SUMIFS(Tabela2[QTD],Tabela2[MATERIAL],Tabela1[[#This Row],[MATERIAL]])</f>
        <v>0</v>
      </c>
      <c r="Y148" s="34">
        <f>Tabela1[[#This Row],[QTD]]*Tabela1[[#This Row],[PESO]]</f>
        <v>0</v>
      </c>
      <c r="AA148" s="35">
        <f>IF(Tabela1[[#This Row],[QTD]]=0,0,1)</f>
        <v>0</v>
      </c>
    </row>
    <row r="149" spans="18:27" x14ac:dyDescent="0.3">
      <c r="R149" s="32" t="s">
        <v>8</v>
      </c>
      <c r="S149" s="33" t="s">
        <v>6</v>
      </c>
      <c r="T149" s="33">
        <v>134250015</v>
      </c>
      <c r="U149" s="33" t="s">
        <v>36</v>
      </c>
      <c r="V149" s="33" t="s">
        <v>128</v>
      </c>
      <c r="W149" s="33">
        <v>0.53500000000000003</v>
      </c>
      <c r="X149" s="33">
        <f>SUMIFS(Tabela2[QTD],Tabela2[MATERIAL],Tabela1[[#This Row],[MATERIAL]])</f>
        <v>0</v>
      </c>
      <c r="Y149" s="34">
        <f>Tabela1[[#This Row],[QTD]]*Tabela1[[#This Row],[PESO]]</f>
        <v>0</v>
      </c>
      <c r="AA149" s="35">
        <f>IF(Tabela1[[#This Row],[QTD]]=0,0,1)</f>
        <v>0</v>
      </c>
    </row>
    <row r="150" spans="18:27" x14ac:dyDescent="0.3">
      <c r="R150" s="32" t="s">
        <v>8</v>
      </c>
      <c r="S150" s="33" t="s">
        <v>6</v>
      </c>
      <c r="T150" s="33">
        <v>134740019</v>
      </c>
      <c r="U150" s="33" t="s">
        <v>37</v>
      </c>
      <c r="V150" s="33" t="s">
        <v>128</v>
      </c>
      <c r="W150" s="33">
        <v>0.57999999999999996</v>
      </c>
      <c r="X150" s="33">
        <f>SUMIFS(Tabela2[QTD],Tabela2[MATERIAL],Tabela1[[#This Row],[MATERIAL]])</f>
        <v>0</v>
      </c>
      <c r="Y150" s="34">
        <f>Tabela1[[#This Row],[QTD]]*Tabela1[[#This Row],[PESO]]</f>
        <v>0</v>
      </c>
      <c r="AA150" s="35">
        <f>IF(Tabela1[[#This Row],[QTD]]=0,0,1)</f>
        <v>0</v>
      </c>
    </row>
    <row r="151" spans="18:27" x14ac:dyDescent="0.3">
      <c r="R151" s="32" t="s">
        <v>8</v>
      </c>
      <c r="S151" s="33" t="s">
        <v>6</v>
      </c>
      <c r="T151" s="33">
        <v>134740023</v>
      </c>
      <c r="U151" s="33" t="s">
        <v>75</v>
      </c>
      <c r="V151" s="33" t="s">
        <v>128</v>
      </c>
      <c r="W151" s="33">
        <v>0.71799999999999997</v>
      </c>
      <c r="X151" s="33">
        <f>SUMIFS(Tabela2[QTD],Tabela2[MATERIAL],Tabela1[[#This Row],[MATERIAL]])</f>
        <v>0</v>
      </c>
      <c r="Y151" s="34">
        <f>Tabela1[[#This Row],[QTD]]*Tabela1[[#This Row],[PESO]]</f>
        <v>0</v>
      </c>
      <c r="AA151" s="35">
        <f>IF(Tabela1[[#This Row],[QTD]]=0,0,1)</f>
        <v>0</v>
      </c>
    </row>
    <row r="152" spans="18:27" x14ac:dyDescent="0.3">
      <c r="R152" s="32" t="s">
        <v>8</v>
      </c>
      <c r="S152" s="33" t="s">
        <v>6</v>
      </c>
      <c r="T152" s="33">
        <v>150400002</v>
      </c>
      <c r="U152" s="33" t="s">
        <v>76</v>
      </c>
      <c r="V152" s="33" t="s">
        <v>128</v>
      </c>
      <c r="W152" s="33">
        <v>0.01</v>
      </c>
      <c r="X152" s="33">
        <f>SUMIFS(Tabela2[QTD],Tabela2[MATERIAL],Tabela1[[#This Row],[MATERIAL]])</f>
        <v>0</v>
      </c>
      <c r="Y152" s="34">
        <f>Tabela1[[#This Row],[QTD]]*Tabela1[[#This Row],[PESO]]</f>
        <v>0</v>
      </c>
      <c r="AA152" s="35">
        <f>IF(Tabela1[[#This Row],[QTD]]=0,0,1)</f>
        <v>0</v>
      </c>
    </row>
    <row r="153" spans="18:27" x14ac:dyDescent="0.3">
      <c r="R153" s="32" t="s">
        <v>8</v>
      </c>
      <c r="S153" s="33" t="s">
        <v>6</v>
      </c>
      <c r="T153" s="33">
        <v>134110009</v>
      </c>
      <c r="U153" s="33" t="s">
        <v>38</v>
      </c>
      <c r="V153" s="33" t="s">
        <v>10</v>
      </c>
      <c r="W153" s="33">
        <v>0.6</v>
      </c>
      <c r="X153" s="33">
        <f>SUMIFS(Tabela2[QTD],Tabela2[MATERIAL],Tabela1[[#This Row],[MATERIAL]])</f>
        <v>0</v>
      </c>
      <c r="Y153" s="34">
        <f>Tabela1[[#This Row],[QTD]]*Tabela1[[#This Row],[PESO]]</f>
        <v>0</v>
      </c>
      <c r="AA153" s="35">
        <f>IF(Tabela1[[#This Row],[QTD]]=0,0,1)</f>
        <v>0</v>
      </c>
    </row>
    <row r="154" spans="18:27" x14ac:dyDescent="0.3">
      <c r="R154" s="32" t="s">
        <v>8</v>
      </c>
      <c r="S154" s="33" t="s">
        <v>6</v>
      </c>
      <c r="T154" s="33">
        <v>134110019</v>
      </c>
      <c r="U154" s="33" t="s">
        <v>39</v>
      </c>
      <c r="V154" s="33" t="s">
        <v>128</v>
      </c>
      <c r="W154" s="33">
        <v>0.2</v>
      </c>
      <c r="X154" s="33">
        <f>SUMIFS(Tabela2[QTD],Tabela2[MATERIAL],Tabela1[[#This Row],[MATERIAL]])</f>
        <v>0</v>
      </c>
      <c r="Y154" s="34">
        <f>Tabela1[[#This Row],[QTD]]*Tabela1[[#This Row],[PESO]]</f>
        <v>0</v>
      </c>
      <c r="AA154" s="35">
        <f>IF(Tabela1[[#This Row],[QTD]]=0,0,1)</f>
        <v>0</v>
      </c>
    </row>
    <row r="155" spans="18:27" x14ac:dyDescent="0.3">
      <c r="R155" s="32" t="s">
        <v>8</v>
      </c>
      <c r="S155" s="33" t="s">
        <v>6</v>
      </c>
      <c r="T155" s="33">
        <v>122050001</v>
      </c>
      <c r="U155" s="33" t="s">
        <v>77</v>
      </c>
      <c r="V155" s="33" t="s">
        <v>10</v>
      </c>
      <c r="W155" s="33">
        <v>1</v>
      </c>
      <c r="X155" s="33">
        <f>SUMIFS(Tabela2[QTD],Tabela2[MATERIAL],Tabela1[[#This Row],[MATERIAL]])</f>
        <v>0</v>
      </c>
      <c r="Y155" s="34">
        <f>Tabela1[[#This Row],[QTD]]*Tabela1[[#This Row],[PESO]]</f>
        <v>0</v>
      </c>
      <c r="AA155" s="35">
        <f>IF(Tabela1[[#This Row],[QTD]]=0,0,1)</f>
        <v>0</v>
      </c>
    </row>
    <row r="156" spans="18:27" x14ac:dyDescent="0.3">
      <c r="R156" s="32" t="s">
        <v>8</v>
      </c>
      <c r="S156" s="33" t="s">
        <v>6</v>
      </c>
      <c r="T156" s="33">
        <v>124010008</v>
      </c>
      <c r="U156" s="33" t="s">
        <v>78</v>
      </c>
      <c r="V156" s="33" t="s">
        <v>128</v>
      </c>
      <c r="W156" s="33">
        <v>4.3999999999999997E-2</v>
      </c>
      <c r="X156" s="33">
        <f>SUMIFS(Tabela2[QTD],Tabela2[MATERIAL],Tabela1[[#This Row],[MATERIAL]])</f>
        <v>0</v>
      </c>
      <c r="Y156" s="34">
        <f>Tabela1[[#This Row],[QTD]]*Tabela1[[#This Row],[PESO]]</f>
        <v>0</v>
      </c>
      <c r="AA156" s="35">
        <f>IF(Tabela1[[#This Row],[QTD]]=0,0,1)</f>
        <v>0</v>
      </c>
    </row>
    <row r="157" spans="18:27" x14ac:dyDescent="0.3">
      <c r="R157" s="32" t="s">
        <v>8</v>
      </c>
      <c r="S157" s="33" t="s">
        <v>6</v>
      </c>
      <c r="T157" s="33">
        <v>124010010</v>
      </c>
      <c r="U157" s="33" t="s">
        <v>79</v>
      </c>
      <c r="V157" s="33" t="s">
        <v>128</v>
      </c>
      <c r="W157" s="33">
        <v>2.5000000000000001E-2</v>
      </c>
      <c r="X157" s="33">
        <f>SUMIFS(Tabela2[QTD],Tabela2[MATERIAL],Tabela1[[#This Row],[MATERIAL]])</f>
        <v>0</v>
      </c>
      <c r="Y157" s="34">
        <f>Tabela1[[#This Row],[QTD]]*Tabela1[[#This Row],[PESO]]</f>
        <v>0</v>
      </c>
      <c r="AA157" s="35">
        <f>IF(Tabela1[[#This Row],[QTD]]=0,0,1)</f>
        <v>0</v>
      </c>
    </row>
    <row r="158" spans="18:27" x14ac:dyDescent="0.3">
      <c r="R158" s="32" t="s">
        <v>8</v>
      </c>
      <c r="S158" s="33" t="s">
        <v>6</v>
      </c>
      <c r="T158" s="33">
        <v>124010017</v>
      </c>
      <c r="U158" s="33" t="s">
        <v>80</v>
      </c>
      <c r="V158" s="33" t="s">
        <v>10</v>
      </c>
      <c r="W158" s="33">
        <v>0.05</v>
      </c>
      <c r="X158" s="33">
        <f>SUMIFS(Tabela2[QTD],Tabela2[MATERIAL],Tabela1[[#This Row],[MATERIAL]])</f>
        <v>0</v>
      </c>
      <c r="Y158" s="34">
        <f>Tabela1[[#This Row],[QTD]]*Tabela1[[#This Row],[PESO]]</f>
        <v>0</v>
      </c>
      <c r="AA158" s="35">
        <f>IF(Tabela1[[#This Row],[QTD]]=0,0,1)</f>
        <v>0</v>
      </c>
    </row>
    <row r="159" spans="18:27" x14ac:dyDescent="0.3">
      <c r="R159" s="32" t="s">
        <v>8</v>
      </c>
      <c r="S159" s="33" t="s">
        <v>6</v>
      </c>
      <c r="T159" s="33">
        <v>123000001</v>
      </c>
      <c r="U159" s="33" t="s">
        <v>81</v>
      </c>
      <c r="V159" s="33" t="s">
        <v>10</v>
      </c>
      <c r="W159" s="33">
        <v>0.6</v>
      </c>
      <c r="X159" s="33">
        <f>SUMIFS(Tabela2[QTD],Tabela2[MATERIAL],Tabela1[[#This Row],[MATERIAL]])</f>
        <v>0</v>
      </c>
      <c r="Y159" s="34">
        <f>Tabela1[[#This Row],[QTD]]*Tabela1[[#This Row],[PESO]]</f>
        <v>0</v>
      </c>
      <c r="AA159" s="35">
        <f>IF(Tabela1[[#This Row],[QTD]]=0,0,1)</f>
        <v>0</v>
      </c>
    </row>
    <row r="160" spans="18:27" x14ac:dyDescent="0.3">
      <c r="R160" s="32" t="s">
        <v>8</v>
      </c>
      <c r="S160" s="33" t="s">
        <v>6</v>
      </c>
      <c r="T160" s="33">
        <v>123010003</v>
      </c>
      <c r="U160" s="33" t="s">
        <v>40</v>
      </c>
      <c r="V160" s="33" t="s">
        <v>10</v>
      </c>
      <c r="W160" s="33">
        <v>0.66300000000000003</v>
      </c>
      <c r="X160" s="33">
        <f>SUMIFS(Tabela2[QTD],Tabela2[MATERIAL],Tabela1[[#This Row],[MATERIAL]])</f>
        <v>0</v>
      </c>
      <c r="Y160" s="34">
        <f>Tabela1[[#This Row],[QTD]]*Tabela1[[#This Row],[PESO]]</f>
        <v>0</v>
      </c>
      <c r="AA160" s="35">
        <f>IF(Tabela1[[#This Row],[QTD]]=0,0,1)</f>
        <v>0</v>
      </c>
    </row>
    <row r="161" spans="18:27" x14ac:dyDescent="0.3">
      <c r="R161" s="32" t="s">
        <v>8</v>
      </c>
      <c r="S161" s="33" t="s">
        <v>6</v>
      </c>
      <c r="T161" s="33">
        <v>124000035</v>
      </c>
      <c r="U161" s="33" t="s">
        <v>82</v>
      </c>
      <c r="V161" s="33" t="s">
        <v>128</v>
      </c>
      <c r="W161" s="33">
        <v>0.129</v>
      </c>
      <c r="X161" s="33">
        <f>SUMIFS(Tabela2[QTD],Tabela2[MATERIAL],Tabela1[[#This Row],[MATERIAL]])</f>
        <v>0</v>
      </c>
      <c r="Y161" s="34">
        <f>Tabela1[[#This Row],[QTD]]*Tabela1[[#This Row],[PESO]]</f>
        <v>0</v>
      </c>
      <c r="AA161" s="35">
        <f>IF(Tabela1[[#This Row],[QTD]]=0,0,1)</f>
        <v>0</v>
      </c>
    </row>
    <row r="162" spans="18:27" x14ac:dyDescent="0.3">
      <c r="R162" s="32" t="s">
        <v>8</v>
      </c>
      <c r="S162" s="33" t="s">
        <v>6</v>
      </c>
      <c r="T162" s="33">
        <v>124000037</v>
      </c>
      <c r="U162" s="33" t="s">
        <v>83</v>
      </c>
      <c r="V162" s="33" t="s">
        <v>128</v>
      </c>
      <c r="W162" s="33">
        <v>4.7E-2</v>
      </c>
      <c r="X162" s="33">
        <f>SUMIFS(Tabela2[QTD],Tabela2[MATERIAL],Tabela1[[#This Row],[MATERIAL]])</f>
        <v>0</v>
      </c>
      <c r="Y162" s="34">
        <f>Tabela1[[#This Row],[QTD]]*Tabela1[[#This Row],[PESO]]</f>
        <v>0</v>
      </c>
      <c r="AA162" s="35">
        <f>IF(Tabela1[[#This Row],[QTD]]=0,0,1)</f>
        <v>0</v>
      </c>
    </row>
    <row r="163" spans="18:27" x14ac:dyDescent="0.3">
      <c r="R163" s="32" t="s">
        <v>8</v>
      </c>
      <c r="S163" s="33" t="s">
        <v>6</v>
      </c>
      <c r="T163" s="33">
        <v>124000038</v>
      </c>
      <c r="U163" s="33" t="s">
        <v>84</v>
      </c>
      <c r="V163" s="33" t="s">
        <v>128</v>
      </c>
      <c r="W163" s="33">
        <v>4.2999999999999997E-2</v>
      </c>
      <c r="X163" s="33">
        <f>SUMIFS(Tabela2[QTD],Tabela2[MATERIAL],Tabela1[[#This Row],[MATERIAL]])</f>
        <v>0</v>
      </c>
      <c r="Y163" s="34">
        <f>Tabela1[[#This Row],[QTD]]*Tabela1[[#This Row],[PESO]]</f>
        <v>0</v>
      </c>
      <c r="AA163" s="35">
        <f>IF(Tabela1[[#This Row],[QTD]]=0,0,1)</f>
        <v>0</v>
      </c>
    </row>
    <row r="164" spans="18:27" x14ac:dyDescent="0.3">
      <c r="R164" s="32" t="s">
        <v>8</v>
      </c>
      <c r="S164" s="33" t="s">
        <v>6</v>
      </c>
      <c r="T164" s="33">
        <v>124030001</v>
      </c>
      <c r="U164" s="33" t="s">
        <v>85</v>
      </c>
      <c r="V164" s="33" t="s">
        <v>10</v>
      </c>
      <c r="W164" s="33">
        <v>0.16</v>
      </c>
      <c r="X164" s="33">
        <f>SUMIFS(Tabela2[QTD],Tabela2[MATERIAL],Tabela1[[#This Row],[MATERIAL]])</f>
        <v>0</v>
      </c>
      <c r="Y164" s="34">
        <f>Tabela1[[#This Row],[QTD]]*Tabela1[[#This Row],[PESO]]</f>
        <v>0</v>
      </c>
      <c r="AA164" s="35">
        <f>IF(Tabela1[[#This Row],[QTD]]=0,0,1)</f>
        <v>0</v>
      </c>
    </row>
    <row r="165" spans="18:27" x14ac:dyDescent="0.3">
      <c r="R165" s="32" t="s">
        <v>8</v>
      </c>
      <c r="S165" s="33" t="s">
        <v>6</v>
      </c>
      <c r="T165" s="33">
        <v>124030002</v>
      </c>
      <c r="U165" s="33" t="s">
        <v>86</v>
      </c>
      <c r="V165" s="33" t="s">
        <v>128</v>
      </c>
      <c r="W165" s="33">
        <v>0.27200000000000002</v>
      </c>
      <c r="X165" s="33">
        <f>SUMIFS(Tabela2[QTD],Tabela2[MATERIAL],Tabela1[[#This Row],[MATERIAL]])</f>
        <v>0</v>
      </c>
      <c r="Y165" s="34">
        <f>Tabela1[[#This Row],[QTD]]*Tabela1[[#This Row],[PESO]]</f>
        <v>0</v>
      </c>
      <c r="AA165" s="35">
        <f>IF(Tabela1[[#This Row],[QTD]]=0,0,1)</f>
        <v>0</v>
      </c>
    </row>
    <row r="166" spans="18:27" x14ac:dyDescent="0.3">
      <c r="R166" s="32" t="s">
        <v>8</v>
      </c>
      <c r="S166" s="33" t="s">
        <v>6</v>
      </c>
      <c r="T166" s="33">
        <v>124030011</v>
      </c>
      <c r="U166" s="33" t="s">
        <v>87</v>
      </c>
      <c r="V166" s="33" t="s">
        <v>128</v>
      </c>
      <c r="W166" s="33">
        <v>0.5</v>
      </c>
      <c r="X166" s="33">
        <f>SUMIFS(Tabela2[QTD],Tabela2[MATERIAL],Tabela1[[#This Row],[MATERIAL]])</f>
        <v>0</v>
      </c>
      <c r="Y166" s="34">
        <f>Tabela1[[#This Row],[QTD]]*Tabela1[[#This Row],[PESO]]</f>
        <v>0</v>
      </c>
      <c r="AA166" s="35">
        <f>IF(Tabela1[[#This Row],[QTD]]=0,0,1)</f>
        <v>0</v>
      </c>
    </row>
    <row r="167" spans="18:27" x14ac:dyDescent="0.3">
      <c r="R167" s="32" t="s">
        <v>8</v>
      </c>
      <c r="S167" s="33" t="s">
        <v>6</v>
      </c>
      <c r="T167" s="33">
        <v>124180002</v>
      </c>
      <c r="U167" s="33" t="s">
        <v>88</v>
      </c>
      <c r="V167" s="33" t="s">
        <v>128</v>
      </c>
      <c r="W167" s="33">
        <v>0.2</v>
      </c>
      <c r="X167" s="33">
        <f>SUMIFS(Tabela2[QTD],Tabela2[MATERIAL],Tabela1[[#This Row],[MATERIAL]])</f>
        <v>0</v>
      </c>
      <c r="Y167" s="34">
        <f>Tabela1[[#This Row],[QTD]]*Tabela1[[#This Row],[PESO]]</f>
        <v>0</v>
      </c>
      <c r="AA167" s="35">
        <f>IF(Tabela1[[#This Row],[QTD]]=0,0,1)</f>
        <v>0</v>
      </c>
    </row>
    <row r="168" spans="18:27" x14ac:dyDescent="0.3">
      <c r="R168" s="32" t="s">
        <v>8</v>
      </c>
      <c r="S168" s="33" t="s">
        <v>6</v>
      </c>
      <c r="T168" s="33">
        <v>134300002</v>
      </c>
      <c r="U168" s="33" t="s">
        <v>89</v>
      </c>
      <c r="V168" s="33" t="s">
        <v>128</v>
      </c>
      <c r="W168" s="33">
        <v>0.2</v>
      </c>
      <c r="X168" s="33">
        <f>SUMIFS(Tabela2[QTD],Tabela2[MATERIAL],Tabela1[[#This Row],[MATERIAL]])</f>
        <v>0</v>
      </c>
      <c r="Y168" s="34">
        <f>Tabela1[[#This Row],[QTD]]*Tabela1[[#This Row],[PESO]]</f>
        <v>0</v>
      </c>
      <c r="AA168" s="35">
        <f>IF(Tabela1[[#This Row],[QTD]]=0,0,1)</f>
        <v>0</v>
      </c>
    </row>
    <row r="169" spans="18:27" x14ac:dyDescent="0.3">
      <c r="R169" s="32" t="s">
        <v>8</v>
      </c>
      <c r="S169" s="33" t="s">
        <v>6</v>
      </c>
      <c r="T169" s="33">
        <v>134300004</v>
      </c>
      <c r="U169" s="33" t="s">
        <v>90</v>
      </c>
      <c r="V169" s="33" t="s">
        <v>128</v>
      </c>
      <c r="W169" s="33">
        <v>4.5999999999999999E-2</v>
      </c>
      <c r="X169" s="33">
        <f>SUMIFS(Tabela2[QTD],Tabela2[MATERIAL],Tabela1[[#This Row],[MATERIAL]])</f>
        <v>0</v>
      </c>
      <c r="Y169" s="34">
        <f>Tabela1[[#This Row],[QTD]]*Tabela1[[#This Row],[PESO]]</f>
        <v>0</v>
      </c>
      <c r="AA169" s="35">
        <f>IF(Tabela1[[#This Row],[QTD]]=0,0,1)</f>
        <v>0</v>
      </c>
    </row>
    <row r="170" spans="18:27" x14ac:dyDescent="0.3">
      <c r="R170" s="32" t="s">
        <v>8</v>
      </c>
      <c r="S170" s="33" t="s">
        <v>6</v>
      </c>
      <c r="T170" s="33">
        <v>134300006</v>
      </c>
      <c r="U170" s="33" t="s">
        <v>91</v>
      </c>
      <c r="V170" s="33" t="s">
        <v>128</v>
      </c>
      <c r="W170" s="33">
        <v>0.1</v>
      </c>
      <c r="X170" s="33">
        <f>SUMIFS(Tabela2[QTD],Tabela2[MATERIAL],Tabela1[[#This Row],[MATERIAL]])</f>
        <v>0</v>
      </c>
      <c r="Y170" s="34">
        <f>Tabela1[[#This Row],[QTD]]*Tabela1[[#This Row],[PESO]]</f>
        <v>0</v>
      </c>
      <c r="AA170" s="35">
        <f>IF(Tabela1[[#This Row],[QTD]]=0,0,1)</f>
        <v>0</v>
      </c>
    </row>
    <row r="171" spans="18:27" x14ac:dyDescent="0.3">
      <c r="R171" s="32" t="s">
        <v>8</v>
      </c>
      <c r="S171" s="33" t="s">
        <v>6</v>
      </c>
      <c r="T171" s="33">
        <v>134310009</v>
      </c>
      <c r="U171" s="33" t="s">
        <v>92</v>
      </c>
      <c r="V171" s="33" t="s">
        <v>10</v>
      </c>
      <c r="W171" s="33">
        <v>0.14099999999999999</v>
      </c>
      <c r="X171" s="33">
        <f>SUMIFS(Tabela2[QTD],Tabela2[MATERIAL],Tabela1[[#This Row],[MATERIAL]])</f>
        <v>0</v>
      </c>
      <c r="Y171" s="34">
        <f>Tabela1[[#This Row],[QTD]]*Tabela1[[#This Row],[PESO]]</f>
        <v>0</v>
      </c>
      <c r="AA171" s="35">
        <f>IF(Tabela1[[#This Row],[QTD]]=0,0,1)</f>
        <v>0</v>
      </c>
    </row>
    <row r="172" spans="18:27" x14ac:dyDescent="0.3">
      <c r="R172" s="32" t="s">
        <v>8</v>
      </c>
      <c r="S172" s="33" t="s">
        <v>6</v>
      </c>
      <c r="T172" s="33">
        <v>134310020</v>
      </c>
      <c r="U172" s="33" t="s">
        <v>93</v>
      </c>
      <c r="V172" s="33" t="s">
        <v>128</v>
      </c>
      <c r="W172" s="33">
        <v>6.9000000000000006E-2</v>
      </c>
      <c r="X172" s="33">
        <f>SUMIFS(Tabela2[QTD],Tabela2[MATERIAL],Tabela1[[#This Row],[MATERIAL]])</f>
        <v>0</v>
      </c>
      <c r="Y172" s="34">
        <f>Tabela1[[#This Row],[QTD]]*Tabela1[[#This Row],[PESO]]</f>
        <v>0</v>
      </c>
      <c r="AA172" s="35">
        <f>IF(Tabela1[[#This Row],[QTD]]=0,0,1)</f>
        <v>0</v>
      </c>
    </row>
    <row r="173" spans="18:27" x14ac:dyDescent="0.3">
      <c r="R173" s="32" t="s">
        <v>8</v>
      </c>
      <c r="S173" s="33" t="s">
        <v>6</v>
      </c>
      <c r="T173" s="33">
        <v>134310032</v>
      </c>
      <c r="U173" s="33" t="s">
        <v>94</v>
      </c>
      <c r="V173" s="33" t="s">
        <v>128</v>
      </c>
      <c r="W173" s="33">
        <v>7.4999999999999997E-2</v>
      </c>
      <c r="X173" s="33">
        <f>SUMIFS(Tabela2[QTD],Tabela2[MATERIAL],Tabela1[[#This Row],[MATERIAL]])</f>
        <v>0</v>
      </c>
      <c r="Y173" s="34">
        <f>Tabela1[[#This Row],[QTD]]*Tabela1[[#This Row],[PESO]]</f>
        <v>0</v>
      </c>
      <c r="AA173" s="35">
        <f>IF(Tabela1[[#This Row],[QTD]]=0,0,1)</f>
        <v>0</v>
      </c>
    </row>
    <row r="174" spans="18:27" x14ac:dyDescent="0.3">
      <c r="R174" s="32" t="s">
        <v>8</v>
      </c>
      <c r="S174" s="33" t="s">
        <v>6</v>
      </c>
      <c r="T174" s="33">
        <v>124180038</v>
      </c>
      <c r="U174" s="33" t="s">
        <v>95</v>
      </c>
      <c r="V174" s="33" t="s">
        <v>128</v>
      </c>
      <c r="W174" s="33">
        <v>0.3</v>
      </c>
      <c r="X174" s="33">
        <f>SUMIFS(Tabela2[QTD],Tabela2[MATERIAL],Tabela1[[#This Row],[MATERIAL]])</f>
        <v>0</v>
      </c>
      <c r="Y174" s="34">
        <f>Tabela1[[#This Row],[QTD]]*Tabela1[[#This Row],[PESO]]</f>
        <v>0</v>
      </c>
      <c r="AA174" s="35">
        <f>IF(Tabela1[[#This Row],[QTD]]=0,0,1)</f>
        <v>0</v>
      </c>
    </row>
    <row r="175" spans="18:27" x14ac:dyDescent="0.3">
      <c r="R175" s="32" t="s">
        <v>8</v>
      </c>
      <c r="S175" s="33" t="s">
        <v>6</v>
      </c>
      <c r="T175" s="33">
        <v>124210061</v>
      </c>
      <c r="U175" s="33" t="s">
        <v>96</v>
      </c>
      <c r="V175" s="33" t="s">
        <v>128</v>
      </c>
      <c r="W175" s="33">
        <v>0.02</v>
      </c>
      <c r="X175" s="33">
        <f>SUMIFS(Tabela2[QTD],Tabela2[MATERIAL],Tabela1[[#This Row],[MATERIAL]])</f>
        <v>0</v>
      </c>
      <c r="Y175" s="34">
        <f>Tabela1[[#This Row],[QTD]]*Tabela1[[#This Row],[PESO]]</f>
        <v>0</v>
      </c>
      <c r="AA175" s="35">
        <f>IF(Tabela1[[#This Row],[QTD]]=0,0,1)</f>
        <v>0</v>
      </c>
    </row>
    <row r="176" spans="18:27" x14ac:dyDescent="0.3">
      <c r="R176" s="32" t="s">
        <v>8</v>
      </c>
      <c r="S176" s="33" t="s">
        <v>6</v>
      </c>
      <c r="T176" s="33">
        <v>134300021</v>
      </c>
      <c r="U176" s="33" t="s">
        <v>97</v>
      </c>
      <c r="V176" s="33" t="s">
        <v>128</v>
      </c>
      <c r="W176" s="33">
        <v>0.06</v>
      </c>
      <c r="X176" s="33">
        <f>SUMIFS(Tabela2[QTD],Tabela2[MATERIAL],Tabela1[[#This Row],[MATERIAL]])</f>
        <v>0</v>
      </c>
      <c r="Y176" s="34">
        <f>Tabela1[[#This Row],[QTD]]*Tabela1[[#This Row],[PESO]]</f>
        <v>0</v>
      </c>
      <c r="AA176" s="35">
        <f>IF(Tabela1[[#This Row],[QTD]]=0,0,1)</f>
        <v>0</v>
      </c>
    </row>
    <row r="177" spans="18:27" x14ac:dyDescent="0.3">
      <c r="R177" s="32" t="s">
        <v>8</v>
      </c>
      <c r="S177" s="33" t="s">
        <v>6</v>
      </c>
      <c r="T177" s="33">
        <v>134300027</v>
      </c>
      <c r="U177" s="33" t="s">
        <v>98</v>
      </c>
      <c r="V177" s="33" t="s">
        <v>128</v>
      </c>
      <c r="W177" s="33">
        <v>7.0000000000000007E-2</v>
      </c>
      <c r="X177" s="33">
        <f>SUMIFS(Tabela2[QTD],Tabela2[MATERIAL],Tabela1[[#This Row],[MATERIAL]])</f>
        <v>0</v>
      </c>
      <c r="Y177" s="34">
        <f>Tabela1[[#This Row],[QTD]]*Tabela1[[#This Row],[PESO]]</f>
        <v>0</v>
      </c>
      <c r="AA177" s="35">
        <f>IF(Tabela1[[#This Row],[QTD]]=0,0,1)</f>
        <v>0</v>
      </c>
    </row>
    <row r="178" spans="18:27" x14ac:dyDescent="0.3">
      <c r="R178" s="32" t="s">
        <v>8</v>
      </c>
      <c r="S178" s="33" t="s">
        <v>6</v>
      </c>
      <c r="T178" s="33">
        <v>124140026</v>
      </c>
      <c r="U178" s="33" t="s">
        <v>99</v>
      </c>
      <c r="V178" s="33" t="s">
        <v>128</v>
      </c>
      <c r="W178" s="33">
        <v>6.2E-2</v>
      </c>
      <c r="X178" s="33">
        <f>SUMIFS(Tabela2[QTD],Tabela2[MATERIAL],Tabela1[[#This Row],[MATERIAL]])</f>
        <v>0</v>
      </c>
      <c r="Y178" s="34">
        <f>Tabela1[[#This Row],[QTD]]*Tabela1[[#This Row],[PESO]]</f>
        <v>0</v>
      </c>
      <c r="AA178" s="35">
        <f>IF(Tabela1[[#This Row],[QTD]]=0,0,1)</f>
        <v>0</v>
      </c>
    </row>
    <row r="179" spans="18:27" x14ac:dyDescent="0.3">
      <c r="R179" s="32" t="s">
        <v>8</v>
      </c>
      <c r="S179" s="33" t="s">
        <v>6</v>
      </c>
      <c r="T179" s="33">
        <v>134190027</v>
      </c>
      <c r="U179" s="33" t="s">
        <v>100</v>
      </c>
      <c r="V179" s="33" t="s">
        <v>10</v>
      </c>
      <c r="W179" s="33">
        <v>1.0589999999999999</v>
      </c>
      <c r="X179" s="33">
        <f>SUMIFS(Tabela2[QTD],Tabela2[MATERIAL],Tabela1[[#This Row],[MATERIAL]])</f>
        <v>0</v>
      </c>
      <c r="Y179" s="34">
        <f>Tabela1[[#This Row],[QTD]]*Tabela1[[#This Row],[PESO]]</f>
        <v>0</v>
      </c>
      <c r="AA179" s="35">
        <f>IF(Tabela1[[#This Row],[QTD]]=0,0,1)</f>
        <v>0</v>
      </c>
    </row>
    <row r="180" spans="18:27" x14ac:dyDescent="0.3">
      <c r="R180" s="32" t="s">
        <v>8</v>
      </c>
      <c r="S180" s="33" t="s">
        <v>6</v>
      </c>
      <c r="T180" s="33">
        <v>134190069</v>
      </c>
      <c r="U180" s="33" t="s">
        <v>101</v>
      </c>
      <c r="V180" s="33" t="s">
        <v>10</v>
      </c>
      <c r="W180" s="33">
        <v>3.4</v>
      </c>
      <c r="X180" s="33">
        <f>SUMIFS(Tabela2[QTD],Tabela2[MATERIAL],Tabela1[[#This Row],[MATERIAL]])</f>
        <v>0</v>
      </c>
      <c r="Y180" s="34">
        <f>Tabela1[[#This Row],[QTD]]*Tabela1[[#This Row],[PESO]]</f>
        <v>0</v>
      </c>
      <c r="AA180" s="35">
        <f>IF(Tabela1[[#This Row],[QTD]]=0,0,1)</f>
        <v>0</v>
      </c>
    </row>
    <row r="181" spans="18:27" x14ac:dyDescent="0.3">
      <c r="R181" s="32" t="s">
        <v>8</v>
      </c>
      <c r="S181" s="33" t="s">
        <v>6</v>
      </c>
      <c r="T181" s="33">
        <v>124150011</v>
      </c>
      <c r="U181" s="33" t="s">
        <v>102</v>
      </c>
      <c r="V181" s="33" t="s">
        <v>10</v>
      </c>
      <c r="W181" s="33">
        <v>0.01</v>
      </c>
      <c r="X181" s="33">
        <f>SUMIFS(Tabela2[QTD],Tabela2[MATERIAL],Tabela1[[#This Row],[MATERIAL]])</f>
        <v>0</v>
      </c>
      <c r="Y181" s="34">
        <f>Tabela1[[#This Row],[QTD]]*Tabela1[[#This Row],[PESO]]</f>
        <v>0</v>
      </c>
      <c r="AA181" s="35">
        <f>IF(Tabela1[[#This Row],[QTD]]=0,0,1)</f>
        <v>0</v>
      </c>
    </row>
    <row r="182" spans="18:27" x14ac:dyDescent="0.3">
      <c r="R182" s="32" t="s">
        <v>8</v>
      </c>
      <c r="S182" s="33" t="s">
        <v>6</v>
      </c>
      <c r="T182" s="33">
        <v>134780025</v>
      </c>
      <c r="U182" s="33" t="s">
        <v>115</v>
      </c>
      <c r="V182" s="33" t="s">
        <v>10</v>
      </c>
      <c r="W182" s="33">
        <v>0.35</v>
      </c>
      <c r="X182" s="33">
        <f>SUMIFS(Tabela2[QTD],Tabela2[MATERIAL],Tabela1[[#This Row],[MATERIAL]])</f>
        <v>0</v>
      </c>
      <c r="Y182" s="34">
        <f>Tabela1[[#This Row],[QTD]]*Tabela1[[#This Row],[PESO]]</f>
        <v>0</v>
      </c>
      <c r="AA182" s="35">
        <f>IF(Tabela1[[#This Row],[QTD]]=0,0,1)</f>
        <v>0</v>
      </c>
    </row>
    <row r="183" spans="18:27" x14ac:dyDescent="0.3">
      <c r="R183" s="32" t="s">
        <v>8</v>
      </c>
      <c r="S183" s="33" t="s">
        <v>6</v>
      </c>
      <c r="T183" s="33">
        <v>124210075</v>
      </c>
      <c r="U183" s="33" t="s">
        <v>116</v>
      </c>
      <c r="V183" s="33" t="s">
        <v>128</v>
      </c>
      <c r="W183" s="33">
        <v>0.01</v>
      </c>
      <c r="X183" s="33">
        <f>SUMIFS(Tabela2[QTD],Tabela2[MATERIAL],Tabela1[[#This Row],[MATERIAL]])</f>
        <v>0</v>
      </c>
      <c r="Y183" s="34">
        <f>Tabela1[[#This Row],[QTD]]*Tabela1[[#This Row],[PESO]]</f>
        <v>0</v>
      </c>
      <c r="AA183" s="35">
        <f>IF(Tabela1[[#This Row],[QTD]]=0,0,1)</f>
        <v>0</v>
      </c>
    </row>
    <row r="184" spans="18:27" x14ac:dyDescent="0.3">
      <c r="R184" s="32" t="s">
        <v>8</v>
      </c>
      <c r="S184" s="33" t="s">
        <v>6</v>
      </c>
      <c r="T184" s="33">
        <v>108200015</v>
      </c>
      <c r="U184" s="33" t="s">
        <v>117</v>
      </c>
      <c r="V184" s="33" t="s">
        <v>128</v>
      </c>
      <c r="W184" s="33">
        <v>5.0000000000000001E-3</v>
      </c>
      <c r="X184" s="33">
        <f>SUMIFS(Tabela2[QTD],Tabela2[MATERIAL],Tabela1[[#This Row],[MATERIAL]])</f>
        <v>0</v>
      </c>
      <c r="Y184" s="34">
        <f>Tabela1[[#This Row],[QTD]]*Tabela1[[#This Row],[PESO]]</f>
        <v>0</v>
      </c>
      <c r="AA184" s="35">
        <f>IF(Tabela1[[#This Row],[QTD]]=0,0,1)</f>
        <v>0</v>
      </c>
    </row>
    <row r="186" spans="18:27" x14ac:dyDescent="0.3">
      <c r="V186" s="68" t="s">
        <v>243</v>
      </c>
      <c r="W186" s="69"/>
      <c r="X186" s="76" t="str">
        <f>SUBTOTAL(9,Y79:Y185)&amp;" Kg"</f>
        <v>0 Kg</v>
      </c>
      <c r="Y186" s="77"/>
    </row>
  </sheetData>
  <sheetProtection selectLockedCells="1" autoFilter="0"/>
  <mergeCells count="42">
    <mergeCell ref="V186:W186"/>
    <mergeCell ref="T75:Y76"/>
    <mergeCell ref="X186:Y186"/>
    <mergeCell ref="C9:D9"/>
    <mergeCell ref="E9:I9"/>
    <mergeCell ref="K9:N9"/>
    <mergeCell ref="I15:J15"/>
    <mergeCell ref="K15:N15"/>
    <mergeCell ref="K13:N13"/>
    <mergeCell ref="C15:D15"/>
    <mergeCell ref="E15:H15"/>
    <mergeCell ref="R75:S76"/>
    <mergeCell ref="D21:H32"/>
    <mergeCell ref="I17:J17"/>
    <mergeCell ref="J21:N32"/>
    <mergeCell ref="C19:N19"/>
    <mergeCell ref="F3:N4"/>
    <mergeCell ref="D8:F8"/>
    <mergeCell ref="C6:N6"/>
    <mergeCell ref="C11:N11"/>
    <mergeCell ref="C13:D13"/>
    <mergeCell ref="K8:L8"/>
    <mergeCell ref="H8:I8"/>
    <mergeCell ref="E13:H13"/>
    <mergeCell ref="I13:J13"/>
    <mergeCell ref="C17:E17"/>
    <mergeCell ref="F17:H17"/>
    <mergeCell ref="M17:N17"/>
    <mergeCell ref="D34:H45"/>
    <mergeCell ref="J34:N45"/>
    <mergeCell ref="D47:H58"/>
    <mergeCell ref="J47:N58"/>
    <mergeCell ref="D60:H71"/>
    <mergeCell ref="J60:N71"/>
    <mergeCell ref="C22:C31"/>
    <mergeCell ref="I22:I31"/>
    <mergeCell ref="C35:C44"/>
    <mergeCell ref="I35:I44"/>
    <mergeCell ref="C48:C57"/>
    <mergeCell ref="I48:I57"/>
    <mergeCell ref="C61:C70"/>
    <mergeCell ref="I61:I70"/>
  </mergeCells>
  <conditionalFormatting sqref="T85">
    <cfRule type="duplicateValues" dxfId="25" priority="3"/>
  </conditionalFormatting>
  <conditionalFormatting sqref="T86">
    <cfRule type="duplicateValues" dxfId="24" priority="2"/>
  </conditionalFormatting>
  <conditionalFormatting sqref="T79:T85 T87:T184">
    <cfRule type="duplicateValues" dxfId="23" priority="21"/>
  </conditionalFormatting>
  <dataValidations count="1">
    <dataValidation type="list" allowBlank="1" showInputMessage="1" showErrorMessage="1" sqref="K9:N9" xr:uid="{BC3AEE0C-6617-4F00-97DE-D0C23747EB37}">
      <formula1>INDIRECT(K8)</formula1>
    </dataValidation>
  </dataValidations>
  <pageMargins left="0.23622047244094491" right="0.23622047244094491" top="0.74803149606299213" bottom="0.47244094488188981" header="0.31496062992125984" footer="0.31496062992125984"/>
  <pageSetup paperSize="9"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Limpar">
                <anchor moveWithCells="1" sizeWithCells="1">
                  <from>
                    <xdr:col>1</xdr:col>
                    <xdr:colOff>7620</xdr:colOff>
                    <xdr:row>0</xdr:row>
                    <xdr:rowOff>99060</xdr:rowOff>
                  </from>
                  <to>
                    <xdr:col>3</xdr:col>
                    <xdr:colOff>342900</xdr:colOff>
                    <xdr:row>0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5" name="Button 28">
              <controlPr defaultSize="0" print="0" autoFill="0" autoPict="0" macro="[0]!Filtrar">
                <anchor moveWithCells="1" sizeWithCells="1">
                  <from>
                    <xdr:col>3</xdr:col>
                    <xdr:colOff>449580</xdr:colOff>
                    <xdr:row>0</xdr:row>
                    <xdr:rowOff>99060</xdr:rowOff>
                  </from>
                  <to>
                    <xdr:col>5</xdr:col>
                    <xdr:colOff>403860</xdr:colOff>
                    <xdr:row>0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6" name="Button 29">
              <controlPr defaultSize="0" print="0" autoFill="0" autoPict="0" macro="[0]!GerarPDF">
                <anchor moveWithCells="1" sizeWithCells="1">
                  <from>
                    <xdr:col>5</xdr:col>
                    <xdr:colOff>495300</xdr:colOff>
                    <xdr:row>0</xdr:row>
                    <xdr:rowOff>99060</xdr:rowOff>
                  </from>
                  <to>
                    <xdr:col>7</xdr:col>
                    <xdr:colOff>449580</xdr:colOff>
                    <xdr:row>0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7" name="Button 32">
              <controlPr defaultSize="0" print="0" autoFill="0" autoPict="0" macro="[0]!AnexarFoto2">
                <anchor moveWithCells="1" siz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8" name="Button 33">
              <controlPr defaultSize="0" print="0" autoFill="0" autoPict="0" macro="[0]!ApagarFoto2">
                <anchor moveWithCells="1" sizeWithCells="1">
                  <from>
                    <xdr:col>8</xdr:col>
                    <xdr:colOff>0</xdr:colOff>
                    <xdr:row>31</xdr:row>
                    <xdr:rowOff>30480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AnexarFoto1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0" name="Button 31">
              <controlPr defaultSize="0" print="0" autoFill="0" autoPict="0" macro="[0]!ApagarFoto1">
                <anchor moveWithCells="1" sizeWithCells="1">
                  <from>
                    <xdr:col>2</xdr:col>
                    <xdr:colOff>0</xdr:colOff>
                    <xdr:row>31</xdr:row>
                    <xdr:rowOff>30480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Button 34">
              <controlPr defaultSize="0" print="0" autoFill="0" autoPict="0" macro="[0]!AnexarFoto3">
                <anchor moveWithCells="1" sizeWithCells="1">
                  <from>
                    <xdr:col>2</xdr:col>
                    <xdr:colOff>0</xdr:colOff>
                    <xdr:row>33</xdr:row>
                    <xdr:rowOff>60960</xdr:rowOff>
                  </from>
                  <to>
                    <xdr:col>3</xdr:col>
                    <xdr:colOff>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Button 35">
              <controlPr defaultSize="0" print="0" autoFill="0" autoPict="0" macro="[0]!ApagarFoto3">
                <anchor moveWithCells="1" sizeWithCells="1">
                  <from>
                    <xdr:col>2</xdr:col>
                    <xdr:colOff>0</xdr:colOff>
                    <xdr:row>44</xdr:row>
                    <xdr:rowOff>30480</xdr:rowOff>
                  </from>
                  <to>
                    <xdr:col>3</xdr:col>
                    <xdr:colOff>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AnexarFoto4">
                <anchor moveWithCells="1" sizeWithCells="1">
                  <from>
                    <xdr:col>8</xdr:col>
                    <xdr:colOff>0</xdr:colOff>
                    <xdr:row>33</xdr:row>
                    <xdr:rowOff>60960</xdr:rowOff>
                  </from>
                  <to>
                    <xdr:col>9</xdr:col>
                    <xdr:colOff>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4" name="Button 37">
              <controlPr defaultSize="0" print="0" autoFill="0" autoPict="0" macro="[0]!ApagarFoto4">
                <anchor moveWithCells="1" sizeWithCells="1">
                  <from>
                    <xdr:col>8</xdr:col>
                    <xdr:colOff>0</xdr:colOff>
                    <xdr:row>44</xdr:row>
                    <xdr:rowOff>30480</xdr:rowOff>
                  </from>
                  <to>
                    <xdr:col>9</xdr:col>
                    <xdr:colOff>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5" name="Button 38">
              <controlPr defaultSize="0" print="0" autoFill="0" autoPict="0" macro="[0]!AnexarFoto5">
                <anchor moveWithCells="1" siz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3</xdr:col>
                    <xdr:colOff>0</xdr:colOff>
                    <xdr:row>46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6" name="Button 39">
              <controlPr defaultSize="0" print="0" autoFill="0" autoPict="0" macro="[0]!ApagarFoto5">
                <anchor moveWithCells="1" sizeWithCells="1">
                  <from>
                    <xdr:col>2</xdr:col>
                    <xdr:colOff>0</xdr:colOff>
                    <xdr:row>57</xdr:row>
                    <xdr:rowOff>30480</xdr:rowOff>
                  </from>
                  <to>
                    <xdr:col>3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7" name="Button 40">
              <controlPr defaultSize="0" print="0" autoFill="0" autoPict="0" macro="[0]!AnexarFoto6">
                <anchor moveWithCells="1" siz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8" name="Button 41">
              <controlPr defaultSize="0" print="0" autoFill="0" autoPict="0" macro="[0]!ApagarFoto6">
                <anchor moveWithCells="1" sizeWithCells="1">
                  <from>
                    <xdr:col>8</xdr:col>
                    <xdr:colOff>0</xdr:colOff>
                    <xdr:row>57</xdr:row>
                    <xdr:rowOff>30480</xdr:rowOff>
                  </from>
                  <to>
                    <xdr:col>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19" name="Button 42">
              <controlPr defaultSize="0" print="0" autoFill="0" autoPict="0" macro="[0]!AnexarFoto7">
                <anchor moveWithCells="1" sizeWithCells="1">
                  <from>
                    <xdr:col>2</xdr:col>
                    <xdr:colOff>0</xdr:colOff>
                    <xdr:row>59</xdr:row>
                    <xdr:rowOff>0</xdr:rowOff>
                  </from>
                  <to>
                    <xdr:col>3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0" name="Button 43">
              <controlPr defaultSize="0" print="0" autoFill="0" autoPict="0" macro="[0]!ApagarFoto7">
                <anchor moveWithCells="1" sizeWithCells="1">
                  <from>
                    <xdr:col>2</xdr:col>
                    <xdr:colOff>0</xdr:colOff>
                    <xdr:row>70</xdr:row>
                    <xdr:rowOff>30480</xdr:rowOff>
                  </from>
                  <to>
                    <xdr:col>3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1" name="Button 44">
              <controlPr defaultSize="0" print="0" autoFill="0" autoPict="0" macro="[0]!AnexarFoto8">
                <anchor moveWithCells="1" sizeWithCells="1">
                  <from>
                    <xdr:col>8</xdr:col>
                    <xdr:colOff>0</xdr:colOff>
                    <xdr:row>59</xdr:row>
                    <xdr:rowOff>0</xdr:rowOff>
                  </from>
                  <to>
                    <xdr:col>9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2" name="Button 45">
              <controlPr defaultSize="0" print="0" autoFill="0" autoPict="0" macro="[0]!ApagarFoto8">
                <anchor moveWithCells="1" sizeWithCells="1">
                  <from>
                    <xdr:col>8</xdr:col>
                    <xdr:colOff>0</xdr:colOff>
                    <xdr:row>70</xdr:row>
                    <xdr:rowOff>30480</xdr:rowOff>
                  </from>
                  <to>
                    <xdr:col>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6DC811-30E7-4D7E-8E8D-788563802CA6}">
          <x14:formula1>
            <xm:f>VALID!$A$3:$A$7</xm:f>
          </x14:formula1>
          <xm:sqref>K8:L8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10E96-E8D9-46F6-B2A3-253B52EAF0B7}">
  <sheetPr codeName="Planilha3"/>
  <dimension ref="A2:F20"/>
  <sheetViews>
    <sheetView showGridLines="0" topLeftCell="A2" workbookViewId="0">
      <selection activeCell="B3" sqref="B3:B17"/>
    </sheetView>
  </sheetViews>
  <sheetFormatPr defaultRowHeight="14.4" x14ac:dyDescent="0.3"/>
  <cols>
    <col min="1" max="1" width="18.33203125" bestFit="1" customWidth="1"/>
    <col min="2" max="2" width="27.5546875" bestFit="1" customWidth="1"/>
    <col min="3" max="3" width="19.5546875" bestFit="1" customWidth="1"/>
    <col min="4" max="4" width="32.88671875" bestFit="1" customWidth="1"/>
    <col min="5" max="5" width="31.88671875" bestFit="1" customWidth="1"/>
    <col min="6" max="6" width="28.5546875" bestFit="1" customWidth="1"/>
  </cols>
  <sheetData>
    <row r="2" spans="1:6" x14ac:dyDescent="0.3">
      <c r="A2" s="3" t="s">
        <v>167</v>
      </c>
      <c r="B2" s="3" t="s">
        <v>169</v>
      </c>
      <c r="C2" s="3" t="s">
        <v>242</v>
      </c>
      <c r="D2" s="3" t="s">
        <v>180</v>
      </c>
      <c r="E2" s="3" t="s">
        <v>241</v>
      </c>
      <c r="F2" s="3" t="s">
        <v>240</v>
      </c>
    </row>
    <row r="3" spans="1:6" x14ac:dyDescent="0.3">
      <c r="A3" s="4" t="s">
        <v>169</v>
      </c>
      <c r="B3" s="2" t="s">
        <v>168</v>
      </c>
      <c r="C3" s="4" t="s">
        <v>173</v>
      </c>
      <c r="D3" s="2" t="s">
        <v>179</v>
      </c>
      <c r="E3" s="2" t="s">
        <v>177</v>
      </c>
      <c r="F3" s="2" t="s">
        <v>171</v>
      </c>
    </row>
    <row r="4" spans="1:6" x14ac:dyDescent="0.3">
      <c r="A4" s="4" t="s">
        <v>242</v>
      </c>
      <c r="B4" s="2" t="s">
        <v>170</v>
      </c>
      <c r="C4" s="2" t="s">
        <v>176</v>
      </c>
      <c r="D4" s="2" t="s">
        <v>189</v>
      </c>
      <c r="E4" s="2" t="s">
        <v>188</v>
      </c>
      <c r="F4" s="2" t="s">
        <v>175</v>
      </c>
    </row>
    <row r="5" spans="1:6" x14ac:dyDescent="0.3">
      <c r="A5" s="4" t="s">
        <v>180</v>
      </c>
      <c r="B5" s="2" t="s">
        <v>169</v>
      </c>
      <c r="C5" s="2" t="s">
        <v>184</v>
      </c>
      <c r="D5" s="2" t="s">
        <v>199</v>
      </c>
      <c r="E5" s="2" t="s">
        <v>190</v>
      </c>
      <c r="F5" s="2" t="s">
        <v>178</v>
      </c>
    </row>
    <row r="6" spans="1:6" x14ac:dyDescent="0.3">
      <c r="A6" s="4" t="s">
        <v>241</v>
      </c>
      <c r="B6" s="2" t="s">
        <v>182</v>
      </c>
      <c r="C6" s="2" t="s">
        <v>174</v>
      </c>
      <c r="D6" s="2" t="s">
        <v>202</v>
      </c>
      <c r="E6" s="2" t="s">
        <v>191</v>
      </c>
      <c r="F6" s="2" t="s">
        <v>181</v>
      </c>
    </row>
    <row r="7" spans="1:6" x14ac:dyDescent="0.3">
      <c r="A7" s="4" t="s">
        <v>240</v>
      </c>
      <c r="B7" s="2" t="s">
        <v>183</v>
      </c>
      <c r="C7" s="2" t="s">
        <v>209</v>
      </c>
      <c r="D7" s="2" t="s">
        <v>203</v>
      </c>
      <c r="E7" s="2" t="s">
        <v>192</v>
      </c>
      <c r="F7" s="2" t="s">
        <v>196</v>
      </c>
    </row>
    <row r="8" spans="1:6" x14ac:dyDescent="0.3">
      <c r="B8" s="2" t="s">
        <v>185</v>
      </c>
      <c r="C8" s="2" t="s">
        <v>210</v>
      </c>
      <c r="D8" s="2" t="s">
        <v>204</v>
      </c>
      <c r="E8" s="2" t="s">
        <v>193</v>
      </c>
      <c r="F8" s="2" t="s">
        <v>198</v>
      </c>
    </row>
    <row r="9" spans="1:6" x14ac:dyDescent="0.3">
      <c r="B9" s="2" t="s">
        <v>186</v>
      </c>
      <c r="C9" s="2" t="s">
        <v>212</v>
      </c>
      <c r="D9" s="2" t="s">
        <v>206</v>
      </c>
      <c r="E9" s="2" t="s">
        <v>194</v>
      </c>
      <c r="F9" s="2" t="s">
        <v>211</v>
      </c>
    </row>
    <row r="10" spans="1:6" x14ac:dyDescent="0.3">
      <c r="B10" s="2" t="s">
        <v>187</v>
      </c>
      <c r="C10" s="2" t="s">
        <v>218</v>
      </c>
      <c r="D10" s="2" t="s">
        <v>207</v>
      </c>
      <c r="E10" s="2" t="s">
        <v>195</v>
      </c>
      <c r="F10" s="2" t="s">
        <v>216</v>
      </c>
    </row>
    <row r="11" spans="1:6" x14ac:dyDescent="0.3">
      <c r="B11" s="2" t="s">
        <v>205</v>
      </c>
      <c r="C11" s="2" t="s">
        <v>220</v>
      </c>
      <c r="D11" s="2" t="s">
        <v>208</v>
      </c>
      <c r="E11" s="2" t="s">
        <v>197</v>
      </c>
      <c r="F11" s="2" t="s">
        <v>217</v>
      </c>
    </row>
    <row r="12" spans="1:6" x14ac:dyDescent="0.3">
      <c r="B12" s="2" t="s">
        <v>213</v>
      </c>
      <c r="C12" s="2" t="s">
        <v>236</v>
      </c>
      <c r="D12" s="2" t="s">
        <v>214</v>
      </c>
      <c r="E12" s="2" t="s">
        <v>200</v>
      </c>
      <c r="F12" s="2" t="s">
        <v>172</v>
      </c>
    </row>
    <row r="13" spans="1:6" x14ac:dyDescent="0.3">
      <c r="B13" s="2" t="s">
        <v>215</v>
      </c>
      <c r="C13" s="2" t="s">
        <v>237</v>
      </c>
      <c r="D13" s="2" t="s">
        <v>180</v>
      </c>
      <c r="E13" s="2" t="s">
        <v>201</v>
      </c>
      <c r="F13" s="2" t="s">
        <v>222</v>
      </c>
    </row>
    <row r="14" spans="1:6" x14ac:dyDescent="0.3">
      <c r="B14" s="2" t="s">
        <v>227</v>
      </c>
      <c r="D14" s="2" t="s">
        <v>219</v>
      </c>
      <c r="E14" s="2" t="s">
        <v>162</v>
      </c>
      <c r="F14" s="2" t="s">
        <v>225</v>
      </c>
    </row>
    <row r="15" spans="1:6" x14ac:dyDescent="0.3">
      <c r="B15" s="2" t="s">
        <v>228</v>
      </c>
      <c r="D15" s="2" t="s">
        <v>229</v>
      </c>
      <c r="E15" s="2" t="s">
        <v>221</v>
      </c>
      <c r="F15" s="2" t="s">
        <v>231</v>
      </c>
    </row>
    <row r="16" spans="1:6" x14ac:dyDescent="0.3">
      <c r="B16" s="2" t="s">
        <v>238</v>
      </c>
      <c r="D16" s="2" t="s">
        <v>230</v>
      </c>
      <c r="E16" s="2" t="s">
        <v>223</v>
      </c>
      <c r="F16" s="2" t="s">
        <v>234</v>
      </c>
    </row>
    <row r="17" spans="2:6" x14ac:dyDescent="0.3">
      <c r="B17" s="2" t="s">
        <v>231</v>
      </c>
      <c r="D17" s="2" t="s">
        <v>233</v>
      </c>
      <c r="E17" s="2" t="s">
        <v>224</v>
      </c>
      <c r="F17" s="2" t="s">
        <v>239</v>
      </c>
    </row>
    <row r="18" spans="2:6" x14ac:dyDescent="0.3">
      <c r="E18" s="2" t="s">
        <v>226</v>
      </c>
      <c r="F18" s="2" t="s">
        <v>175</v>
      </c>
    </row>
    <row r="19" spans="2:6" x14ac:dyDescent="0.3">
      <c r="E19" s="2" t="s">
        <v>232</v>
      </c>
    </row>
    <row r="20" spans="2:6" x14ac:dyDescent="0.3">
      <c r="E20" s="2" t="s">
        <v>235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J217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14" sqref="H14"/>
    </sheetView>
  </sheetViews>
  <sheetFormatPr defaultColWidth="0" defaultRowHeight="14.4" x14ac:dyDescent="0.3"/>
  <cols>
    <col min="1" max="1" width="9" style="5" customWidth="1"/>
    <col min="2" max="2" width="15" style="5" bestFit="1" customWidth="1"/>
    <col min="3" max="3" width="9.6640625" style="5" bestFit="1" customWidth="1"/>
    <col min="4" max="4" width="12.109375" style="5" customWidth="1"/>
    <col min="5" max="5" width="44.33203125" style="5" bestFit="1" customWidth="1"/>
    <col min="6" max="6" width="11.44140625" style="5" customWidth="1"/>
    <col min="7" max="7" width="7.6640625" style="5" customWidth="1"/>
    <col min="8" max="8" width="14.33203125" style="5" bestFit="1" customWidth="1"/>
    <col min="9" max="9" width="8.6640625" style="5" bestFit="1" customWidth="1"/>
    <col min="10" max="10" width="9" style="5" customWidth="1"/>
    <col min="11" max="16384" width="9" style="1" hidden="1"/>
  </cols>
  <sheetData>
    <row r="2" spans="2:9" x14ac:dyDescent="0.3">
      <c r="E2" s="85" t="s">
        <v>155</v>
      </c>
      <c r="F2" s="85"/>
      <c r="G2" s="85"/>
      <c r="H2" s="85"/>
    </row>
    <row r="3" spans="2:9" x14ac:dyDescent="0.3">
      <c r="E3" s="85"/>
      <c r="F3" s="85"/>
      <c r="G3" s="85"/>
      <c r="H3" s="85"/>
    </row>
    <row r="4" spans="2:9" x14ac:dyDescent="0.3">
      <c r="I4" s="5">
        <f>SUBTOTAL(9,I6:I111)</f>
        <v>0</v>
      </c>
    </row>
    <row r="5" spans="2:9" x14ac:dyDescent="0.3">
      <c r="B5" s="9" t="s">
        <v>2</v>
      </c>
      <c r="C5" s="9" t="s">
        <v>3</v>
      </c>
      <c r="D5" s="9" t="s">
        <v>0</v>
      </c>
      <c r="E5" s="9" t="s">
        <v>158</v>
      </c>
      <c r="F5" s="9" t="s">
        <v>142</v>
      </c>
      <c r="G5" s="9" t="s">
        <v>127</v>
      </c>
      <c r="H5" s="9" t="s">
        <v>125</v>
      </c>
      <c r="I5" s="9" t="s">
        <v>126</v>
      </c>
    </row>
    <row r="6" spans="2:9" x14ac:dyDescent="0.3">
      <c r="B6" s="5" t="s">
        <v>41</v>
      </c>
      <c r="C6" s="5" t="s">
        <v>15</v>
      </c>
      <c r="D6" s="5">
        <v>133410002</v>
      </c>
      <c r="E6" s="5" t="s">
        <v>109</v>
      </c>
      <c r="F6" s="5" t="s">
        <v>10</v>
      </c>
      <c r="G6" s="5">
        <v>85</v>
      </c>
      <c r="H6" s="8"/>
      <c r="I6" s="5">
        <f t="shared" ref="I6:I41" si="0">H6*G6</f>
        <v>0</v>
      </c>
    </row>
    <row r="7" spans="2:9" x14ac:dyDescent="0.3">
      <c r="B7" s="5" t="s">
        <v>41</v>
      </c>
      <c r="C7" s="5" t="s">
        <v>15</v>
      </c>
      <c r="D7" s="5">
        <v>133410005</v>
      </c>
      <c r="E7" s="5" t="s">
        <v>137</v>
      </c>
      <c r="F7" s="5" t="s">
        <v>10</v>
      </c>
      <c r="G7" s="5">
        <v>110</v>
      </c>
      <c r="H7" s="8"/>
      <c r="I7" s="5">
        <f t="shared" si="0"/>
        <v>0</v>
      </c>
    </row>
    <row r="8" spans="2:9" x14ac:dyDescent="0.3">
      <c r="B8" s="5" t="s">
        <v>41</v>
      </c>
      <c r="C8" s="5" t="s">
        <v>15</v>
      </c>
      <c r="D8" s="5">
        <v>133410007</v>
      </c>
      <c r="E8" s="5" t="s">
        <v>138</v>
      </c>
      <c r="F8" s="5" t="s">
        <v>10</v>
      </c>
      <c r="G8" s="5">
        <v>125</v>
      </c>
      <c r="H8" s="8"/>
      <c r="I8" s="5">
        <f t="shared" si="0"/>
        <v>0</v>
      </c>
    </row>
    <row r="9" spans="2:9" x14ac:dyDescent="0.3">
      <c r="B9" s="5" t="s">
        <v>41</v>
      </c>
      <c r="C9" s="5" t="s">
        <v>15</v>
      </c>
      <c r="D9" s="5">
        <v>133410010</v>
      </c>
      <c r="E9" s="5" t="s">
        <v>110</v>
      </c>
      <c r="F9" s="5" t="s">
        <v>10</v>
      </c>
      <c r="G9" s="5">
        <v>150</v>
      </c>
      <c r="H9" s="8"/>
      <c r="I9" s="5">
        <f t="shared" si="0"/>
        <v>0</v>
      </c>
    </row>
    <row r="10" spans="2:9" x14ac:dyDescent="0.3">
      <c r="B10" s="5" t="s">
        <v>41</v>
      </c>
      <c r="C10" s="5" t="s">
        <v>15</v>
      </c>
      <c r="D10" s="5">
        <v>133410008</v>
      </c>
      <c r="E10" s="5" t="s">
        <v>139</v>
      </c>
      <c r="F10" s="5" t="s">
        <v>10</v>
      </c>
      <c r="G10" s="5">
        <v>220</v>
      </c>
      <c r="H10" s="8"/>
      <c r="I10" s="5">
        <f t="shared" si="0"/>
        <v>0</v>
      </c>
    </row>
    <row r="11" spans="2:9" x14ac:dyDescent="0.3">
      <c r="B11" s="5" t="s">
        <v>41</v>
      </c>
      <c r="C11" s="5" t="s">
        <v>15</v>
      </c>
      <c r="D11" s="5">
        <v>133410011</v>
      </c>
      <c r="E11" s="5" t="s">
        <v>140</v>
      </c>
      <c r="F11" s="5" t="s">
        <v>10</v>
      </c>
      <c r="G11" s="5">
        <v>245</v>
      </c>
      <c r="H11" s="8"/>
      <c r="I11" s="5">
        <f t="shared" si="0"/>
        <v>0</v>
      </c>
    </row>
    <row r="12" spans="2:9" x14ac:dyDescent="0.3">
      <c r="B12" s="5" t="s">
        <v>41</v>
      </c>
      <c r="C12" s="5" t="s">
        <v>15</v>
      </c>
      <c r="D12" s="5">
        <v>133410003</v>
      </c>
      <c r="E12" s="5" t="s">
        <v>244</v>
      </c>
      <c r="F12" s="5" t="s">
        <v>10</v>
      </c>
      <c r="G12" s="5">
        <v>160</v>
      </c>
      <c r="H12" s="8"/>
      <c r="I12" s="5">
        <f t="shared" ref="I12" si="1">H12*G12</f>
        <v>0</v>
      </c>
    </row>
    <row r="13" spans="2:9" x14ac:dyDescent="0.3">
      <c r="B13" s="5" t="s">
        <v>41</v>
      </c>
      <c r="C13" s="5" t="s">
        <v>15</v>
      </c>
      <c r="D13" s="5">
        <v>133410013</v>
      </c>
      <c r="E13" s="5" t="s">
        <v>245</v>
      </c>
      <c r="F13" s="5" t="s">
        <v>10</v>
      </c>
      <c r="G13" s="5">
        <v>480</v>
      </c>
      <c r="H13" s="8"/>
      <c r="I13" s="5">
        <f t="shared" ref="I13" si="2">H13*G13</f>
        <v>0</v>
      </c>
    </row>
    <row r="14" spans="2:9" x14ac:dyDescent="0.3">
      <c r="B14" s="5" t="s">
        <v>23</v>
      </c>
      <c r="C14" s="6" t="s">
        <v>6</v>
      </c>
      <c r="D14" s="5">
        <v>133400006</v>
      </c>
      <c r="E14" s="5" t="s">
        <v>141</v>
      </c>
      <c r="F14" s="5" t="s">
        <v>10</v>
      </c>
      <c r="G14" s="5">
        <v>9.75</v>
      </c>
      <c r="H14" s="8"/>
      <c r="I14" s="5">
        <f t="shared" si="0"/>
        <v>0</v>
      </c>
    </row>
    <row r="15" spans="2:9" x14ac:dyDescent="0.3">
      <c r="B15" s="5" t="s">
        <v>17</v>
      </c>
      <c r="C15" s="5" t="s">
        <v>6</v>
      </c>
      <c r="D15" s="5">
        <v>133240028</v>
      </c>
      <c r="E15" s="5" t="s">
        <v>45</v>
      </c>
      <c r="F15" s="5" t="s">
        <v>10</v>
      </c>
      <c r="G15" s="5">
        <v>40</v>
      </c>
      <c r="H15" s="8"/>
      <c r="I15" s="5">
        <f t="shared" si="0"/>
        <v>0</v>
      </c>
    </row>
    <row r="16" spans="2:9" x14ac:dyDescent="0.3">
      <c r="B16" s="5" t="s">
        <v>47</v>
      </c>
      <c r="C16" s="5" t="s">
        <v>6</v>
      </c>
      <c r="D16" s="5">
        <v>122230007</v>
      </c>
      <c r="E16" s="5" t="s">
        <v>46</v>
      </c>
      <c r="F16" s="5" t="s">
        <v>128</v>
      </c>
      <c r="G16" s="5">
        <v>0.15</v>
      </c>
      <c r="H16" s="8"/>
      <c r="I16" s="5">
        <f t="shared" si="0"/>
        <v>0</v>
      </c>
    </row>
    <row r="17" spans="2:9" x14ac:dyDescent="0.3">
      <c r="B17" s="5" t="s">
        <v>47</v>
      </c>
      <c r="C17" s="5" t="s">
        <v>49</v>
      </c>
      <c r="D17" s="5">
        <v>122230083</v>
      </c>
      <c r="E17" s="5" t="s">
        <v>48</v>
      </c>
      <c r="F17" s="5" t="s">
        <v>128</v>
      </c>
      <c r="G17" s="5">
        <v>0.34499999999999997</v>
      </c>
      <c r="H17" s="8"/>
      <c r="I17" s="5">
        <f t="shared" si="0"/>
        <v>0</v>
      </c>
    </row>
    <row r="18" spans="2:9" x14ac:dyDescent="0.3">
      <c r="B18" s="5" t="s">
        <v>47</v>
      </c>
      <c r="C18" s="5" t="s">
        <v>6</v>
      </c>
      <c r="D18" s="5">
        <v>122230097</v>
      </c>
      <c r="E18" s="5" t="s">
        <v>50</v>
      </c>
      <c r="F18" s="5" t="s">
        <v>128</v>
      </c>
      <c r="G18" s="5">
        <v>0.17199999999999999</v>
      </c>
      <c r="H18" s="8"/>
      <c r="I18" s="5">
        <f t="shared" si="0"/>
        <v>0</v>
      </c>
    </row>
    <row r="19" spans="2:9" x14ac:dyDescent="0.3">
      <c r="B19" s="5" t="s">
        <v>52</v>
      </c>
      <c r="C19" s="5" t="s">
        <v>15</v>
      </c>
      <c r="D19" s="5">
        <v>122030004</v>
      </c>
      <c r="E19" s="5" t="s">
        <v>51</v>
      </c>
      <c r="F19" s="5" t="s">
        <v>10</v>
      </c>
      <c r="G19" s="5">
        <v>1</v>
      </c>
      <c r="H19" s="8"/>
      <c r="I19" s="5">
        <f t="shared" si="0"/>
        <v>0</v>
      </c>
    </row>
    <row r="20" spans="2:9" x14ac:dyDescent="0.3">
      <c r="B20" s="5" t="s">
        <v>5</v>
      </c>
      <c r="C20" s="5" t="s">
        <v>6</v>
      </c>
      <c r="D20" s="5">
        <v>134010023</v>
      </c>
      <c r="E20" s="5" t="s">
        <v>4</v>
      </c>
      <c r="F20" s="5" t="s">
        <v>128</v>
      </c>
      <c r="G20" s="5">
        <v>0.12</v>
      </c>
      <c r="H20" s="8"/>
      <c r="I20" s="5">
        <f t="shared" si="0"/>
        <v>0</v>
      </c>
    </row>
    <row r="21" spans="2:9" x14ac:dyDescent="0.3">
      <c r="B21" s="5" t="s">
        <v>54</v>
      </c>
      <c r="C21" s="5" t="s">
        <v>6</v>
      </c>
      <c r="D21" s="5">
        <v>105300003</v>
      </c>
      <c r="E21" s="5" t="s">
        <v>53</v>
      </c>
      <c r="F21" s="5" t="s">
        <v>10</v>
      </c>
      <c r="G21" s="5">
        <v>7.1</v>
      </c>
      <c r="H21" s="8"/>
      <c r="I21" s="5">
        <f t="shared" si="0"/>
        <v>0</v>
      </c>
    </row>
    <row r="22" spans="2:9" x14ac:dyDescent="0.3">
      <c r="B22" s="5" t="s">
        <v>18</v>
      </c>
      <c r="C22" s="5" t="s">
        <v>15</v>
      </c>
      <c r="D22" s="5">
        <v>122300049</v>
      </c>
      <c r="E22" s="5" t="s">
        <v>55</v>
      </c>
      <c r="F22" s="5" t="s">
        <v>10</v>
      </c>
      <c r="G22" s="5">
        <v>0.47599999999999998</v>
      </c>
      <c r="H22" s="8"/>
      <c r="I22" s="5">
        <f t="shared" si="0"/>
        <v>0</v>
      </c>
    </row>
    <row r="23" spans="2:9" x14ac:dyDescent="0.3">
      <c r="B23" s="5" t="s">
        <v>18</v>
      </c>
      <c r="C23" s="5" t="s">
        <v>15</v>
      </c>
      <c r="D23" s="5">
        <v>122300015</v>
      </c>
      <c r="E23" s="5" t="s">
        <v>150</v>
      </c>
      <c r="F23" s="5" t="s">
        <v>10</v>
      </c>
      <c r="G23" s="5">
        <v>0.878</v>
      </c>
      <c r="H23" s="8"/>
      <c r="I23" s="5">
        <f t="shared" si="0"/>
        <v>0</v>
      </c>
    </row>
    <row r="24" spans="2:9" x14ac:dyDescent="0.3">
      <c r="B24" s="5" t="s">
        <v>19</v>
      </c>
      <c r="C24" s="5" t="s">
        <v>15</v>
      </c>
      <c r="D24" s="5">
        <v>122020001</v>
      </c>
      <c r="E24" s="5" t="s">
        <v>56</v>
      </c>
      <c r="F24" s="5" t="s">
        <v>128</v>
      </c>
      <c r="G24" s="5">
        <v>0.1</v>
      </c>
      <c r="H24" s="8"/>
      <c r="I24" s="5">
        <f t="shared" si="0"/>
        <v>0</v>
      </c>
    </row>
    <row r="25" spans="2:9" x14ac:dyDescent="0.3">
      <c r="B25" s="5" t="s">
        <v>19</v>
      </c>
      <c r="C25" s="5" t="s">
        <v>15</v>
      </c>
      <c r="D25" s="5">
        <v>122020008</v>
      </c>
      <c r="E25" s="5" t="s">
        <v>57</v>
      </c>
      <c r="F25" s="5" t="s">
        <v>10</v>
      </c>
      <c r="G25" s="5">
        <v>1</v>
      </c>
      <c r="H25" s="8"/>
      <c r="I25" s="5">
        <f t="shared" si="0"/>
        <v>0</v>
      </c>
    </row>
    <row r="26" spans="2:9" x14ac:dyDescent="0.3">
      <c r="B26" s="5" t="s">
        <v>21</v>
      </c>
      <c r="C26" s="5" t="s">
        <v>6</v>
      </c>
      <c r="D26" s="5">
        <v>144010003</v>
      </c>
      <c r="E26" s="5" t="s">
        <v>20</v>
      </c>
      <c r="F26" s="5" t="s">
        <v>128</v>
      </c>
      <c r="G26" s="5">
        <v>0.1</v>
      </c>
      <c r="H26" s="8"/>
      <c r="I26" s="5">
        <f t="shared" si="0"/>
        <v>0</v>
      </c>
    </row>
    <row r="27" spans="2:9" x14ac:dyDescent="0.3">
      <c r="B27" s="5" t="s">
        <v>23</v>
      </c>
      <c r="C27" s="5" t="s">
        <v>6</v>
      </c>
      <c r="D27" s="5">
        <v>133100007</v>
      </c>
      <c r="E27" s="5" t="s">
        <v>22</v>
      </c>
      <c r="F27" s="5" t="s">
        <v>10</v>
      </c>
      <c r="G27" s="5">
        <v>52</v>
      </c>
      <c r="H27" s="8"/>
      <c r="I27" s="5">
        <f t="shared" si="0"/>
        <v>0</v>
      </c>
    </row>
    <row r="28" spans="2:9" x14ac:dyDescent="0.3">
      <c r="B28" s="5" t="s">
        <v>25</v>
      </c>
      <c r="C28" s="5" t="s">
        <v>6</v>
      </c>
      <c r="D28" s="5">
        <v>134350002</v>
      </c>
      <c r="E28" s="5" t="s">
        <v>24</v>
      </c>
      <c r="F28" s="5" t="s">
        <v>10</v>
      </c>
      <c r="G28" s="5">
        <v>3.246</v>
      </c>
      <c r="H28" s="8"/>
      <c r="I28" s="5">
        <f t="shared" si="0"/>
        <v>0</v>
      </c>
    </row>
    <row r="29" spans="2:9" x14ac:dyDescent="0.3">
      <c r="B29" s="5" t="s">
        <v>59</v>
      </c>
      <c r="C29" s="5" t="s">
        <v>6</v>
      </c>
      <c r="D29" s="5">
        <v>134600010</v>
      </c>
      <c r="E29" s="5" t="s">
        <v>58</v>
      </c>
      <c r="F29" s="5" t="s">
        <v>10</v>
      </c>
      <c r="G29" s="5">
        <v>3</v>
      </c>
      <c r="H29" s="8"/>
      <c r="I29" s="5">
        <f t="shared" si="0"/>
        <v>0</v>
      </c>
    </row>
    <row r="30" spans="2:9" x14ac:dyDescent="0.3">
      <c r="B30" s="5" t="s">
        <v>26</v>
      </c>
      <c r="C30" s="5" t="s">
        <v>6</v>
      </c>
      <c r="D30" s="5">
        <v>123140003</v>
      </c>
      <c r="E30" s="5" t="s">
        <v>60</v>
      </c>
      <c r="F30" s="5" t="s">
        <v>10</v>
      </c>
      <c r="G30" s="5">
        <v>3.5</v>
      </c>
      <c r="H30" s="8"/>
      <c r="I30" s="5">
        <f t="shared" si="0"/>
        <v>0</v>
      </c>
    </row>
    <row r="31" spans="2:9" x14ac:dyDescent="0.3">
      <c r="B31" s="5" t="s">
        <v>26</v>
      </c>
      <c r="C31" s="5" t="s">
        <v>6</v>
      </c>
      <c r="D31" s="5">
        <v>123140006</v>
      </c>
      <c r="E31" s="5" t="s">
        <v>246</v>
      </c>
      <c r="F31" s="5" t="s">
        <v>10</v>
      </c>
      <c r="G31" s="5">
        <v>9.3330000000000002</v>
      </c>
      <c r="H31" s="8"/>
      <c r="I31" s="5">
        <f t="shared" ref="I31" si="3">H31*G31</f>
        <v>0</v>
      </c>
    </row>
    <row r="32" spans="2:9" x14ac:dyDescent="0.3">
      <c r="B32" s="5" t="s">
        <v>26</v>
      </c>
      <c r="C32" s="5" t="s">
        <v>6</v>
      </c>
      <c r="D32" s="5">
        <v>123230001</v>
      </c>
      <c r="E32" s="5" t="s">
        <v>27</v>
      </c>
      <c r="F32" s="5" t="s">
        <v>128</v>
      </c>
      <c r="G32" s="5">
        <v>0.6</v>
      </c>
      <c r="H32" s="8"/>
      <c r="I32" s="5">
        <f t="shared" si="0"/>
        <v>0</v>
      </c>
    </row>
    <row r="33" spans="2:9" x14ac:dyDescent="0.3">
      <c r="B33" s="5" t="s">
        <v>26</v>
      </c>
      <c r="C33" s="5" t="s">
        <v>6</v>
      </c>
      <c r="D33" s="5">
        <v>123230004</v>
      </c>
      <c r="E33" s="5" t="s">
        <v>247</v>
      </c>
      <c r="F33" s="5" t="s">
        <v>128</v>
      </c>
      <c r="G33" s="5">
        <v>0.88</v>
      </c>
      <c r="H33" s="8"/>
      <c r="I33" s="5">
        <f t="shared" ref="I33" si="4">H33*G33</f>
        <v>0</v>
      </c>
    </row>
    <row r="34" spans="2:9" x14ac:dyDescent="0.3">
      <c r="B34" s="5" t="s">
        <v>119</v>
      </c>
      <c r="C34" s="5" t="s">
        <v>15</v>
      </c>
      <c r="D34" s="5">
        <v>108010022</v>
      </c>
      <c r="E34" s="5" t="s">
        <v>118</v>
      </c>
      <c r="F34" s="5" t="s">
        <v>10</v>
      </c>
      <c r="G34" s="5">
        <v>0.71299999999999997</v>
      </c>
      <c r="H34" s="8"/>
      <c r="I34" s="5">
        <f t="shared" si="0"/>
        <v>0</v>
      </c>
    </row>
    <row r="35" spans="2:9" x14ac:dyDescent="0.3">
      <c r="B35" s="5" t="s">
        <v>119</v>
      </c>
      <c r="C35" s="5" t="s">
        <v>15</v>
      </c>
      <c r="D35" s="5">
        <v>108010083</v>
      </c>
      <c r="E35" s="5" t="s">
        <v>120</v>
      </c>
      <c r="F35" s="5" t="s">
        <v>128</v>
      </c>
      <c r="G35" s="5">
        <v>0.316</v>
      </c>
      <c r="H35" s="8"/>
      <c r="I35" s="5">
        <f t="shared" si="0"/>
        <v>0</v>
      </c>
    </row>
    <row r="36" spans="2:9" x14ac:dyDescent="0.3">
      <c r="B36" s="5" t="s">
        <v>104</v>
      </c>
      <c r="C36" s="5" t="s">
        <v>6</v>
      </c>
      <c r="D36" s="5">
        <v>104000004</v>
      </c>
      <c r="E36" s="5" t="s">
        <v>103</v>
      </c>
      <c r="F36" s="5" t="s">
        <v>128</v>
      </c>
      <c r="G36" s="5">
        <v>0.48</v>
      </c>
      <c r="H36" s="8"/>
      <c r="I36" s="5">
        <f t="shared" si="0"/>
        <v>0</v>
      </c>
    </row>
    <row r="37" spans="2:9" x14ac:dyDescent="0.3">
      <c r="B37" s="5" t="s">
        <v>106</v>
      </c>
      <c r="C37" s="5" t="s">
        <v>6</v>
      </c>
      <c r="D37" s="5">
        <v>104010001</v>
      </c>
      <c r="E37" s="5" t="s">
        <v>105</v>
      </c>
      <c r="F37" s="5" t="s">
        <v>10</v>
      </c>
      <c r="G37" s="5">
        <v>1.5</v>
      </c>
      <c r="H37" s="8"/>
      <c r="I37" s="5">
        <f t="shared" si="0"/>
        <v>0</v>
      </c>
    </row>
    <row r="38" spans="2:9" x14ac:dyDescent="0.3">
      <c r="B38" s="5" t="s">
        <v>108</v>
      </c>
      <c r="C38" s="5" t="s">
        <v>6</v>
      </c>
      <c r="D38" s="5">
        <v>175110016</v>
      </c>
      <c r="E38" s="5" t="s">
        <v>107</v>
      </c>
      <c r="F38" s="5" t="s">
        <v>128</v>
      </c>
      <c r="G38" s="5">
        <v>0.05</v>
      </c>
      <c r="H38" s="8"/>
      <c r="I38" s="5">
        <f t="shared" si="0"/>
        <v>0</v>
      </c>
    </row>
    <row r="39" spans="2:9" x14ac:dyDescent="0.3">
      <c r="B39" s="5" t="s">
        <v>14</v>
      </c>
      <c r="C39" s="5" t="s">
        <v>15</v>
      </c>
      <c r="D39" s="5">
        <v>132210019</v>
      </c>
      <c r="E39" s="5" t="s">
        <v>13</v>
      </c>
      <c r="F39" s="5" t="s">
        <v>10</v>
      </c>
      <c r="G39" s="5">
        <v>23.488</v>
      </c>
      <c r="H39" s="8"/>
      <c r="I39" s="5">
        <f t="shared" si="0"/>
        <v>0</v>
      </c>
    </row>
    <row r="40" spans="2:9" x14ac:dyDescent="0.3">
      <c r="B40" s="5" t="s">
        <v>14</v>
      </c>
      <c r="C40" s="5" t="s">
        <v>15</v>
      </c>
      <c r="D40" s="5">
        <v>132210039</v>
      </c>
      <c r="E40" s="5" t="s">
        <v>16</v>
      </c>
      <c r="F40" s="5" t="s">
        <v>10</v>
      </c>
      <c r="G40" s="5">
        <v>32.643999999999998</v>
      </c>
      <c r="H40" s="8"/>
      <c r="I40" s="5">
        <f t="shared" si="0"/>
        <v>0</v>
      </c>
    </row>
    <row r="41" spans="2:9" x14ac:dyDescent="0.3">
      <c r="B41" s="5" t="s">
        <v>41</v>
      </c>
      <c r="C41" s="5" t="s">
        <v>15</v>
      </c>
      <c r="D41" s="5">
        <v>133000010</v>
      </c>
      <c r="E41" s="5" t="s">
        <v>111</v>
      </c>
      <c r="F41" s="5" t="s">
        <v>10</v>
      </c>
      <c r="G41" s="5">
        <v>750</v>
      </c>
      <c r="H41" s="8"/>
      <c r="I41" s="5">
        <f t="shared" si="0"/>
        <v>0</v>
      </c>
    </row>
    <row r="42" spans="2:9" x14ac:dyDescent="0.3">
      <c r="B42" s="5" t="s">
        <v>41</v>
      </c>
      <c r="C42" s="5" t="s">
        <v>15</v>
      </c>
      <c r="D42" s="5">
        <v>133000025</v>
      </c>
      <c r="E42" s="5" t="s">
        <v>42</v>
      </c>
      <c r="F42" s="5" t="s">
        <v>10</v>
      </c>
      <c r="G42" s="5">
        <v>1050</v>
      </c>
      <c r="H42" s="8"/>
      <c r="I42" s="5">
        <f t="shared" ref="I42:I73" si="5">H42*G42</f>
        <v>0</v>
      </c>
    </row>
    <row r="43" spans="2:9" x14ac:dyDescent="0.3">
      <c r="B43" s="5" t="s">
        <v>41</v>
      </c>
      <c r="C43" s="5" t="s">
        <v>15</v>
      </c>
      <c r="D43" s="5">
        <v>133000033</v>
      </c>
      <c r="E43" s="5" t="s">
        <v>112</v>
      </c>
      <c r="F43" s="5" t="s">
        <v>10</v>
      </c>
      <c r="G43" s="5">
        <v>1200</v>
      </c>
      <c r="H43" s="8"/>
      <c r="I43" s="5">
        <f t="shared" si="5"/>
        <v>0</v>
      </c>
    </row>
    <row r="44" spans="2:9" x14ac:dyDescent="0.3">
      <c r="B44" s="5" t="s">
        <v>122</v>
      </c>
      <c r="C44" s="5" t="s">
        <v>15</v>
      </c>
      <c r="D44" s="5">
        <v>122270001</v>
      </c>
      <c r="E44" s="5" t="s">
        <v>121</v>
      </c>
      <c r="F44" s="5" t="s">
        <v>10</v>
      </c>
      <c r="G44" s="5">
        <v>9.2999999999999999E-2</v>
      </c>
      <c r="H44" s="8"/>
      <c r="I44" s="5">
        <f t="shared" si="5"/>
        <v>0</v>
      </c>
    </row>
    <row r="45" spans="2:9" x14ac:dyDescent="0.3">
      <c r="B45" s="5" t="s">
        <v>122</v>
      </c>
      <c r="C45" s="5" t="s">
        <v>15</v>
      </c>
      <c r="D45" s="5">
        <v>122300001</v>
      </c>
      <c r="E45" s="5" t="s">
        <v>123</v>
      </c>
      <c r="F45" s="5" t="s">
        <v>128</v>
      </c>
      <c r="G45" s="5">
        <v>7.1999999999999995E-2</v>
      </c>
      <c r="H45" s="8"/>
      <c r="I45" s="5">
        <f t="shared" si="5"/>
        <v>0</v>
      </c>
    </row>
    <row r="46" spans="2:9" x14ac:dyDescent="0.3">
      <c r="B46" s="5" t="s">
        <v>122</v>
      </c>
      <c r="C46" s="5" t="s">
        <v>15</v>
      </c>
      <c r="D46" s="5">
        <v>122300010</v>
      </c>
      <c r="E46" s="5" t="s">
        <v>124</v>
      </c>
      <c r="F46" s="5" t="s">
        <v>128</v>
      </c>
      <c r="G46" s="5">
        <v>0.217</v>
      </c>
      <c r="H46" s="8"/>
      <c r="I46" s="5">
        <f t="shared" si="5"/>
        <v>0</v>
      </c>
    </row>
    <row r="47" spans="2:9" x14ac:dyDescent="0.3">
      <c r="B47" s="5" t="s">
        <v>44</v>
      </c>
      <c r="C47" s="5" t="s">
        <v>15</v>
      </c>
      <c r="D47" s="5">
        <v>102100057</v>
      </c>
      <c r="E47" s="5" t="s">
        <v>43</v>
      </c>
      <c r="F47" s="5" t="s">
        <v>10</v>
      </c>
      <c r="G47" s="5">
        <v>136</v>
      </c>
      <c r="H47" s="8"/>
      <c r="I47" s="5">
        <f t="shared" si="5"/>
        <v>0</v>
      </c>
    </row>
    <row r="48" spans="2:9" x14ac:dyDescent="0.3">
      <c r="B48" s="5" t="s">
        <v>44</v>
      </c>
      <c r="C48" s="5" t="s">
        <v>15</v>
      </c>
      <c r="D48" s="5">
        <v>102100011</v>
      </c>
      <c r="E48" s="5" t="s">
        <v>113</v>
      </c>
      <c r="F48" s="5" t="s">
        <v>10</v>
      </c>
      <c r="G48" s="5">
        <v>359</v>
      </c>
      <c r="H48" s="8"/>
      <c r="I48" s="5">
        <f t="shared" si="5"/>
        <v>0</v>
      </c>
    </row>
    <row r="49" spans="2:9" x14ac:dyDescent="0.3">
      <c r="B49" s="5" t="s">
        <v>44</v>
      </c>
      <c r="C49" s="5" t="s">
        <v>15</v>
      </c>
      <c r="D49" s="5">
        <v>102100054</v>
      </c>
      <c r="E49" s="5" t="s">
        <v>114</v>
      </c>
      <c r="F49" s="5" t="s">
        <v>10</v>
      </c>
      <c r="G49" s="5">
        <v>172</v>
      </c>
      <c r="H49" s="8"/>
      <c r="I49" s="5">
        <f t="shared" si="5"/>
        <v>0</v>
      </c>
    </row>
    <row r="50" spans="2:9" x14ac:dyDescent="0.3">
      <c r="B50" s="5" t="s">
        <v>8</v>
      </c>
      <c r="C50" s="5" t="s">
        <v>6</v>
      </c>
      <c r="D50" s="5">
        <v>134830013</v>
      </c>
      <c r="E50" s="5" t="s">
        <v>7</v>
      </c>
      <c r="F50" s="5" t="s">
        <v>128</v>
      </c>
      <c r="G50" s="5">
        <v>0.02</v>
      </c>
      <c r="H50" s="8"/>
      <c r="I50" s="5">
        <f t="shared" si="5"/>
        <v>0</v>
      </c>
    </row>
    <row r="51" spans="2:9" x14ac:dyDescent="0.3">
      <c r="B51" s="5" t="s">
        <v>8</v>
      </c>
      <c r="C51" s="5" t="s">
        <v>6</v>
      </c>
      <c r="D51" s="5">
        <v>122050003</v>
      </c>
      <c r="E51" s="5" t="s">
        <v>9</v>
      </c>
      <c r="F51" s="5" t="s">
        <v>128</v>
      </c>
      <c r="G51" s="5">
        <v>0.1</v>
      </c>
      <c r="H51" s="8"/>
      <c r="I51" s="5">
        <f t="shared" si="5"/>
        <v>0</v>
      </c>
    </row>
    <row r="52" spans="2:9" x14ac:dyDescent="0.3">
      <c r="B52" s="5" t="s">
        <v>8</v>
      </c>
      <c r="C52" s="5" t="s">
        <v>6</v>
      </c>
      <c r="D52" s="5">
        <v>134300026</v>
      </c>
      <c r="E52" s="5" t="s">
        <v>11</v>
      </c>
      <c r="F52" s="5" t="s">
        <v>128</v>
      </c>
      <c r="G52" s="5">
        <v>0.03</v>
      </c>
      <c r="H52" s="8"/>
      <c r="I52" s="5">
        <f t="shared" si="5"/>
        <v>0</v>
      </c>
    </row>
    <row r="53" spans="2:9" x14ac:dyDescent="0.3">
      <c r="B53" s="5" t="s">
        <v>8</v>
      </c>
      <c r="C53" s="5" t="s">
        <v>6</v>
      </c>
      <c r="D53" s="5">
        <v>103000003</v>
      </c>
      <c r="E53" s="5" t="s">
        <v>12</v>
      </c>
      <c r="F53" s="5" t="s">
        <v>128</v>
      </c>
      <c r="G53" s="5">
        <v>0.114</v>
      </c>
      <c r="H53" s="8"/>
      <c r="I53" s="5">
        <f t="shared" si="5"/>
        <v>0</v>
      </c>
    </row>
    <row r="54" spans="2:9" x14ac:dyDescent="0.3">
      <c r="B54" s="5" t="s">
        <v>8</v>
      </c>
      <c r="C54" s="5" t="s">
        <v>6</v>
      </c>
      <c r="D54" s="5">
        <v>105360004</v>
      </c>
      <c r="E54" s="5" t="s">
        <v>61</v>
      </c>
      <c r="F54" s="5" t="s">
        <v>128</v>
      </c>
      <c r="G54" s="5">
        <v>2.8000000000000001E-2</v>
      </c>
      <c r="H54" s="8"/>
      <c r="I54" s="5">
        <f t="shared" si="5"/>
        <v>0</v>
      </c>
    </row>
    <row r="55" spans="2:9" x14ac:dyDescent="0.3">
      <c r="B55" s="5" t="s">
        <v>8</v>
      </c>
      <c r="C55" s="5" t="s">
        <v>6</v>
      </c>
      <c r="D55" s="5">
        <v>124120002</v>
      </c>
      <c r="E55" s="5" t="s">
        <v>62</v>
      </c>
      <c r="F55" s="5" t="s">
        <v>128</v>
      </c>
      <c r="G55" s="5">
        <v>0.13200000000000001</v>
      </c>
      <c r="H55" s="8"/>
      <c r="I55" s="5">
        <f t="shared" si="5"/>
        <v>0</v>
      </c>
    </row>
    <row r="56" spans="2:9" x14ac:dyDescent="0.3">
      <c r="B56" s="5" t="s">
        <v>8</v>
      </c>
      <c r="C56" s="5" t="s">
        <v>6</v>
      </c>
      <c r="D56" s="5">
        <v>124120005</v>
      </c>
      <c r="E56" s="5" t="s">
        <v>63</v>
      </c>
      <c r="F56" s="5" t="s">
        <v>128</v>
      </c>
      <c r="G56" s="5">
        <v>0.123</v>
      </c>
      <c r="H56" s="8"/>
      <c r="I56" s="5">
        <f t="shared" si="5"/>
        <v>0</v>
      </c>
    </row>
    <row r="57" spans="2:9" x14ac:dyDescent="0.3">
      <c r="B57" s="5" t="s">
        <v>8</v>
      </c>
      <c r="C57" s="5" t="s">
        <v>6</v>
      </c>
      <c r="D57" s="5">
        <v>126600002</v>
      </c>
      <c r="E57" s="5" t="s">
        <v>28</v>
      </c>
      <c r="F57" s="5" t="s">
        <v>128</v>
      </c>
      <c r="G57" s="5">
        <v>0.09</v>
      </c>
      <c r="H57" s="8"/>
      <c r="I57" s="5">
        <f t="shared" si="5"/>
        <v>0</v>
      </c>
    </row>
    <row r="58" spans="2:9" x14ac:dyDescent="0.3">
      <c r="B58" s="5" t="s">
        <v>8</v>
      </c>
      <c r="C58" s="5" t="s">
        <v>6</v>
      </c>
      <c r="D58" s="5">
        <v>126600003</v>
      </c>
      <c r="E58" s="5" t="s">
        <v>64</v>
      </c>
      <c r="F58" s="5" t="s">
        <v>128</v>
      </c>
      <c r="G58" s="5">
        <v>0.3</v>
      </c>
      <c r="H58" s="8"/>
      <c r="I58" s="5">
        <f t="shared" si="5"/>
        <v>0</v>
      </c>
    </row>
    <row r="59" spans="2:9" x14ac:dyDescent="0.3">
      <c r="B59" s="5" t="s">
        <v>8</v>
      </c>
      <c r="C59" s="5" t="s">
        <v>6</v>
      </c>
      <c r="D59" s="5">
        <v>134170001</v>
      </c>
      <c r="E59" s="5" t="s">
        <v>65</v>
      </c>
      <c r="F59" s="5" t="s">
        <v>128</v>
      </c>
      <c r="G59" s="5">
        <v>0.7</v>
      </c>
      <c r="H59" s="8"/>
      <c r="I59" s="5">
        <f t="shared" si="5"/>
        <v>0</v>
      </c>
    </row>
    <row r="60" spans="2:9" x14ac:dyDescent="0.3">
      <c r="B60" s="5" t="s">
        <v>8</v>
      </c>
      <c r="C60" s="5" t="s">
        <v>6</v>
      </c>
      <c r="D60" s="5">
        <v>134210001</v>
      </c>
      <c r="E60" s="5" t="s">
        <v>29</v>
      </c>
      <c r="F60" s="5" t="s">
        <v>128</v>
      </c>
      <c r="G60" s="5">
        <v>0.7</v>
      </c>
      <c r="H60" s="8"/>
      <c r="I60" s="5">
        <f t="shared" si="5"/>
        <v>0</v>
      </c>
    </row>
    <row r="61" spans="2:9" x14ac:dyDescent="0.3">
      <c r="B61" s="5" t="s">
        <v>8</v>
      </c>
      <c r="C61" s="5" t="s">
        <v>6</v>
      </c>
      <c r="D61" s="5">
        <v>134280005</v>
      </c>
      <c r="E61" s="5" t="s">
        <v>66</v>
      </c>
      <c r="F61" s="5" t="s">
        <v>128</v>
      </c>
      <c r="G61" s="5">
        <v>0.35</v>
      </c>
      <c r="H61" s="8"/>
      <c r="I61" s="5">
        <f t="shared" si="5"/>
        <v>0</v>
      </c>
    </row>
    <row r="62" spans="2:9" x14ac:dyDescent="0.3">
      <c r="B62" s="5" t="s">
        <v>8</v>
      </c>
      <c r="C62" s="5" t="s">
        <v>6</v>
      </c>
      <c r="D62" s="5">
        <v>134300033</v>
      </c>
      <c r="E62" s="5" t="s">
        <v>30</v>
      </c>
      <c r="F62" s="5" t="s">
        <v>128</v>
      </c>
      <c r="G62" s="5">
        <v>0.36</v>
      </c>
      <c r="H62" s="8"/>
      <c r="I62" s="5">
        <f t="shared" si="5"/>
        <v>0</v>
      </c>
    </row>
    <row r="63" spans="2:9" x14ac:dyDescent="0.3">
      <c r="B63" s="5" t="s">
        <v>8</v>
      </c>
      <c r="C63" s="5" t="s">
        <v>6</v>
      </c>
      <c r="D63" s="5">
        <v>134700028</v>
      </c>
      <c r="E63" s="5" t="s">
        <v>67</v>
      </c>
      <c r="F63" s="5" t="s">
        <v>128</v>
      </c>
      <c r="G63" s="5">
        <v>0.1</v>
      </c>
      <c r="H63" s="8"/>
      <c r="I63" s="5">
        <f t="shared" si="5"/>
        <v>0</v>
      </c>
    </row>
    <row r="64" spans="2:9" x14ac:dyDescent="0.3">
      <c r="B64" s="5" t="s">
        <v>8</v>
      </c>
      <c r="C64" s="5" t="s">
        <v>6</v>
      </c>
      <c r="D64" s="5">
        <v>134700043</v>
      </c>
      <c r="E64" s="5" t="s">
        <v>68</v>
      </c>
      <c r="F64" s="5" t="s">
        <v>128</v>
      </c>
      <c r="G64" s="5">
        <v>0.38</v>
      </c>
      <c r="H64" s="8"/>
      <c r="I64" s="5">
        <f t="shared" si="5"/>
        <v>0</v>
      </c>
    </row>
    <row r="65" spans="2:9" x14ac:dyDescent="0.3">
      <c r="B65" s="5" t="s">
        <v>8</v>
      </c>
      <c r="C65" s="5" t="s">
        <v>6</v>
      </c>
      <c r="D65" s="5">
        <v>134700046</v>
      </c>
      <c r="E65" s="5" t="s">
        <v>69</v>
      </c>
      <c r="F65" s="5" t="s">
        <v>128</v>
      </c>
      <c r="G65" s="5">
        <v>0.44900000000000001</v>
      </c>
      <c r="H65" s="8"/>
      <c r="I65" s="5">
        <f t="shared" si="5"/>
        <v>0</v>
      </c>
    </row>
    <row r="66" spans="2:9" x14ac:dyDescent="0.3">
      <c r="B66" s="5" t="s">
        <v>8</v>
      </c>
      <c r="C66" s="5" t="s">
        <v>6</v>
      </c>
      <c r="D66" s="5">
        <v>134700047</v>
      </c>
      <c r="E66" s="5" t="s">
        <v>31</v>
      </c>
      <c r="F66" s="5" t="s">
        <v>128</v>
      </c>
      <c r="G66" s="5">
        <v>0.5</v>
      </c>
      <c r="H66" s="8"/>
      <c r="I66" s="5">
        <f t="shared" si="5"/>
        <v>0</v>
      </c>
    </row>
    <row r="67" spans="2:9" x14ac:dyDescent="0.3">
      <c r="B67" s="5" t="s">
        <v>8</v>
      </c>
      <c r="C67" s="5" t="s">
        <v>6</v>
      </c>
      <c r="D67" s="5">
        <v>134700049</v>
      </c>
      <c r="E67" s="5" t="s">
        <v>70</v>
      </c>
      <c r="F67" s="5" t="s">
        <v>128</v>
      </c>
      <c r="G67" s="5">
        <v>0.7</v>
      </c>
      <c r="H67" s="8"/>
      <c r="I67" s="5">
        <f t="shared" si="5"/>
        <v>0</v>
      </c>
    </row>
    <row r="68" spans="2:9" x14ac:dyDescent="0.3">
      <c r="B68" s="5" t="s">
        <v>8</v>
      </c>
      <c r="C68" s="5" t="s">
        <v>6</v>
      </c>
      <c r="D68" s="5">
        <v>134740001</v>
      </c>
      <c r="E68" s="5" t="s">
        <v>71</v>
      </c>
      <c r="F68" s="5" t="s">
        <v>128</v>
      </c>
      <c r="G68" s="5">
        <v>0.8</v>
      </c>
      <c r="H68" s="8"/>
      <c r="I68" s="5">
        <f t="shared" si="5"/>
        <v>0</v>
      </c>
    </row>
    <row r="69" spans="2:9" x14ac:dyDescent="0.3">
      <c r="B69" s="5" t="s">
        <v>8</v>
      </c>
      <c r="C69" s="5" t="s">
        <v>6</v>
      </c>
      <c r="D69" s="5">
        <v>134740024</v>
      </c>
      <c r="E69" s="5" t="s">
        <v>72</v>
      </c>
      <c r="F69" s="5" t="s">
        <v>128</v>
      </c>
      <c r="G69" s="5">
        <v>0.73499999999999999</v>
      </c>
      <c r="H69" s="8"/>
      <c r="I69" s="5">
        <f t="shared" si="5"/>
        <v>0</v>
      </c>
    </row>
    <row r="70" spans="2:9" x14ac:dyDescent="0.3">
      <c r="B70" s="5" t="s">
        <v>8</v>
      </c>
      <c r="C70" s="5" t="s">
        <v>6</v>
      </c>
      <c r="D70" s="5">
        <v>134800002</v>
      </c>
      <c r="E70" s="5" t="s">
        <v>32</v>
      </c>
      <c r="F70" s="5" t="s">
        <v>128</v>
      </c>
      <c r="G70" s="5">
        <v>0.36</v>
      </c>
      <c r="H70" s="8"/>
      <c r="I70" s="5">
        <f t="shared" si="5"/>
        <v>0</v>
      </c>
    </row>
    <row r="71" spans="2:9" x14ac:dyDescent="0.3">
      <c r="B71" s="5" t="s">
        <v>8</v>
      </c>
      <c r="C71" s="5" t="s">
        <v>6</v>
      </c>
      <c r="D71" s="5">
        <v>134830015</v>
      </c>
      <c r="E71" s="5" t="s">
        <v>33</v>
      </c>
      <c r="F71" s="5" t="s">
        <v>128</v>
      </c>
      <c r="G71" s="5">
        <v>0.04</v>
      </c>
      <c r="H71" s="8"/>
      <c r="I71" s="5">
        <f t="shared" si="5"/>
        <v>0</v>
      </c>
    </row>
    <row r="72" spans="2:9" x14ac:dyDescent="0.3">
      <c r="B72" s="5" t="s">
        <v>8</v>
      </c>
      <c r="C72" s="5" t="s">
        <v>6</v>
      </c>
      <c r="D72" s="5">
        <v>134860002</v>
      </c>
      <c r="E72" s="5" t="s">
        <v>73</v>
      </c>
      <c r="F72" s="5" t="s">
        <v>128</v>
      </c>
      <c r="G72" s="5">
        <v>0.36199999999999999</v>
      </c>
      <c r="H72" s="8"/>
      <c r="I72" s="5">
        <f t="shared" si="5"/>
        <v>0</v>
      </c>
    </row>
    <row r="73" spans="2:9" x14ac:dyDescent="0.3">
      <c r="B73" s="5" t="s">
        <v>8</v>
      </c>
      <c r="C73" s="5" t="s">
        <v>6</v>
      </c>
      <c r="D73" s="5">
        <v>135220009</v>
      </c>
      <c r="E73" s="5" t="s">
        <v>34</v>
      </c>
      <c r="F73" s="5" t="s">
        <v>128</v>
      </c>
      <c r="G73" s="5">
        <v>5.0000000000000001E-3</v>
      </c>
      <c r="H73" s="8"/>
      <c r="I73" s="5">
        <f t="shared" si="5"/>
        <v>0</v>
      </c>
    </row>
    <row r="74" spans="2:9" x14ac:dyDescent="0.3">
      <c r="B74" s="5" t="s">
        <v>8</v>
      </c>
      <c r="C74" s="5" t="s">
        <v>6</v>
      </c>
      <c r="D74" s="5">
        <v>150400014</v>
      </c>
      <c r="E74" s="5" t="s">
        <v>74</v>
      </c>
      <c r="F74" s="5" t="s">
        <v>128</v>
      </c>
      <c r="G74" s="5">
        <v>0.19</v>
      </c>
      <c r="H74" s="8"/>
      <c r="I74" s="5">
        <f t="shared" ref="I74:I105" si="6">H74*G74</f>
        <v>0</v>
      </c>
    </row>
    <row r="75" spans="2:9" x14ac:dyDescent="0.3">
      <c r="B75" s="5" t="s">
        <v>8</v>
      </c>
      <c r="C75" s="5" t="s">
        <v>6</v>
      </c>
      <c r="D75" s="5">
        <v>134200006</v>
      </c>
      <c r="E75" s="5" t="s">
        <v>35</v>
      </c>
      <c r="F75" s="5" t="s">
        <v>128</v>
      </c>
      <c r="G75" s="5">
        <v>0.45</v>
      </c>
      <c r="H75" s="8"/>
      <c r="I75" s="5">
        <f t="shared" si="6"/>
        <v>0</v>
      </c>
    </row>
    <row r="76" spans="2:9" x14ac:dyDescent="0.3">
      <c r="B76" s="5" t="s">
        <v>8</v>
      </c>
      <c r="C76" s="5" t="s">
        <v>6</v>
      </c>
      <c r="D76" s="5">
        <v>134250015</v>
      </c>
      <c r="E76" s="5" t="s">
        <v>36</v>
      </c>
      <c r="F76" s="5" t="s">
        <v>128</v>
      </c>
      <c r="G76" s="5">
        <v>0.53500000000000003</v>
      </c>
      <c r="H76" s="8"/>
      <c r="I76" s="5">
        <f t="shared" si="6"/>
        <v>0</v>
      </c>
    </row>
    <row r="77" spans="2:9" x14ac:dyDescent="0.3">
      <c r="B77" s="5" t="s">
        <v>8</v>
      </c>
      <c r="C77" s="5" t="s">
        <v>6</v>
      </c>
      <c r="D77" s="5">
        <v>134740019</v>
      </c>
      <c r="E77" s="5" t="s">
        <v>37</v>
      </c>
      <c r="F77" s="5" t="s">
        <v>128</v>
      </c>
      <c r="G77" s="5">
        <v>0.57999999999999996</v>
      </c>
      <c r="H77" s="8"/>
      <c r="I77" s="5">
        <f t="shared" si="6"/>
        <v>0</v>
      </c>
    </row>
    <row r="78" spans="2:9" x14ac:dyDescent="0.3">
      <c r="B78" s="5" t="s">
        <v>8</v>
      </c>
      <c r="C78" s="5" t="s">
        <v>6</v>
      </c>
      <c r="D78" s="5">
        <v>134740023</v>
      </c>
      <c r="E78" s="5" t="s">
        <v>75</v>
      </c>
      <c r="F78" s="5" t="s">
        <v>128</v>
      </c>
      <c r="G78" s="5">
        <v>0.71799999999999997</v>
      </c>
      <c r="H78" s="8"/>
      <c r="I78" s="5">
        <f t="shared" si="6"/>
        <v>0</v>
      </c>
    </row>
    <row r="79" spans="2:9" x14ac:dyDescent="0.3">
      <c r="B79" s="5" t="s">
        <v>8</v>
      </c>
      <c r="C79" s="5" t="s">
        <v>6</v>
      </c>
      <c r="D79" s="5">
        <v>150400002</v>
      </c>
      <c r="E79" s="5" t="s">
        <v>76</v>
      </c>
      <c r="F79" s="5" t="s">
        <v>128</v>
      </c>
      <c r="G79" s="5">
        <v>0.01</v>
      </c>
      <c r="H79" s="8"/>
      <c r="I79" s="5">
        <f t="shared" si="6"/>
        <v>0</v>
      </c>
    </row>
    <row r="80" spans="2:9" x14ac:dyDescent="0.3">
      <c r="B80" s="5" t="s">
        <v>8</v>
      </c>
      <c r="C80" s="5" t="s">
        <v>6</v>
      </c>
      <c r="D80" s="5">
        <v>134110009</v>
      </c>
      <c r="E80" s="5" t="s">
        <v>38</v>
      </c>
      <c r="F80" s="5" t="s">
        <v>10</v>
      </c>
      <c r="G80" s="5">
        <v>0.6</v>
      </c>
      <c r="H80" s="8"/>
      <c r="I80" s="5">
        <f t="shared" si="6"/>
        <v>0</v>
      </c>
    </row>
    <row r="81" spans="2:9" x14ac:dyDescent="0.3">
      <c r="B81" s="5" t="s">
        <v>8</v>
      </c>
      <c r="C81" s="5" t="s">
        <v>6</v>
      </c>
      <c r="D81" s="5">
        <v>134110019</v>
      </c>
      <c r="E81" s="5" t="s">
        <v>39</v>
      </c>
      <c r="F81" s="5" t="s">
        <v>128</v>
      </c>
      <c r="G81" s="5">
        <v>0.2</v>
      </c>
      <c r="H81" s="8"/>
      <c r="I81" s="5">
        <f t="shared" si="6"/>
        <v>0</v>
      </c>
    </row>
    <row r="82" spans="2:9" x14ac:dyDescent="0.3">
      <c r="B82" s="5" t="s">
        <v>8</v>
      </c>
      <c r="C82" s="5" t="s">
        <v>6</v>
      </c>
      <c r="D82" s="5">
        <v>122050001</v>
      </c>
      <c r="E82" s="5" t="s">
        <v>77</v>
      </c>
      <c r="F82" s="5" t="s">
        <v>10</v>
      </c>
      <c r="G82" s="5">
        <v>1</v>
      </c>
      <c r="H82" s="8"/>
      <c r="I82" s="5">
        <f t="shared" si="6"/>
        <v>0</v>
      </c>
    </row>
    <row r="83" spans="2:9" x14ac:dyDescent="0.3">
      <c r="B83" s="5" t="s">
        <v>8</v>
      </c>
      <c r="C83" s="5" t="s">
        <v>6</v>
      </c>
      <c r="D83" s="5">
        <v>124010008</v>
      </c>
      <c r="E83" s="5" t="s">
        <v>78</v>
      </c>
      <c r="F83" s="5" t="s">
        <v>128</v>
      </c>
      <c r="G83" s="5">
        <v>4.3999999999999997E-2</v>
      </c>
      <c r="H83" s="8"/>
      <c r="I83" s="5">
        <f t="shared" si="6"/>
        <v>0</v>
      </c>
    </row>
    <row r="84" spans="2:9" x14ac:dyDescent="0.3">
      <c r="B84" s="5" t="s">
        <v>8</v>
      </c>
      <c r="C84" s="5" t="s">
        <v>6</v>
      </c>
      <c r="D84" s="5">
        <v>124010010</v>
      </c>
      <c r="E84" s="5" t="s">
        <v>79</v>
      </c>
      <c r="F84" s="5" t="s">
        <v>128</v>
      </c>
      <c r="G84" s="5">
        <v>2.5000000000000001E-2</v>
      </c>
      <c r="H84" s="8"/>
      <c r="I84" s="5">
        <f t="shared" si="6"/>
        <v>0</v>
      </c>
    </row>
    <row r="85" spans="2:9" x14ac:dyDescent="0.3">
      <c r="B85" s="5" t="s">
        <v>8</v>
      </c>
      <c r="C85" s="5" t="s">
        <v>6</v>
      </c>
      <c r="D85" s="5">
        <v>124010017</v>
      </c>
      <c r="E85" s="5" t="s">
        <v>80</v>
      </c>
      <c r="F85" s="5" t="s">
        <v>10</v>
      </c>
      <c r="G85" s="5">
        <v>0.05</v>
      </c>
      <c r="H85" s="8"/>
      <c r="I85" s="5">
        <f t="shared" si="6"/>
        <v>0</v>
      </c>
    </row>
    <row r="86" spans="2:9" x14ac:dyDescent="0.3">
      <c r="B86" s="5" t="s">
        <v>8</v>
      </c>
      <c r="C86" s="5" t="s">
        <v>6</v>
      </c>
      <c r="D86" s="5">
        <v>123000001</v>
      </c>
      <c r="E86" s="5" t="s">
        <v>81</v>
      </c>
      <c r="F86" s="5" t="s">
        <v>10</v>
      </c>
      <c r="G86" s="5">
        <v>0.6</v>
      </c>
      <c r="H86" s="8"/>
      <c r="I86" s="5">
        <f t="shared" si="6"/>
        <v>0</v>
      </c>
    </row>
    <row r="87" spans="2:9" x14ac:dyDescent="0.3">
      <c r="B87" s="5" t="s">
        <v>8</v>
      </c>
      <c r="C87" s="5" t="s">
        <v>6</v>
      </c>
      <c r="D87" s="5">
        <v>123010003</v>
      </c>
      <c r="E87" s="5" t="s">
        <v>40</v>
      </c>
      <c r="F87" s="5" t="s">
        <v>10</v>
      </c>
      <c r="G87" s="5">
        <v>0.66300000000000003</v>
      </c>
      <c r="H87" s="8"/>
      <c r="I87" s="5">
        <f t="shared" si="6"/>
        <v>0</v>
      </c>
    </row>
    <row r="88" spans="2:9" x14ac:dyDescent="0.3">
      <c r="B88" s="5" t="s">
        <v>8</v>
      </c>
      <c r="C88" s="5" t="s">
        <v>6</v>
      </c>
      <c r="D88" s="5">
        <v>124000035</v>
      </c>
      <c r="E88" s="5" t="s">
        <v>82</v>
      </c>
      <c r="F88" s="5" t="s">
        <v>128</v>
      </c>
      <c r="G88" s="5">
        <v>0.129</v>
      </c>
      <c r="H88" s="8"/>
      <c r="I88" s="5">
        <f t="shared" si="6"/>
        <v>0</v>
      </c>
    </row>
    <row r="89" spans="2:9" x14ac:dyDescent="0.3">
      <c r="B89" s="5" t="s">
        <v>8</v>
      </c>
      <c r="C89" s="5" t="s">
        <v>6</v>
      </c>
      <c r="D89" s="5">
        <v>124000037</v>
      </c>
      <c r="E89" s="5" t="s">
        <v>83</v>
      </c>
      <c r="F89" s="5" t="s">
        <v>128</v>
      </c>
      <c r="G89" s="5">
        <v>4.7E-2</v>
      </c>
      <c r="H89" s="8"/>
      <c r="I89" s="5">
        <f t="shared" si="6"/>
        <v>0</v>
      </c>
    </row>
    <row r="90" spans="2:9" x14ac:dyDescent="0.3">
      <c r="B90" s="5" t="s">
        <v>8</v>
      </c>
      <c r="C90" s="5" t="s">
        <v>6</v>
      </c>
      <c r="D90" s="5">
        <v>124000038</v>
      </c>
      <c r="E90" s="5" t="s">
        <v>84</v>
      </c>
      <c r="F90" s="5" t="s">
        <v>128</v>
      </c>
      <c r="G90" s="5">
        <v>4.2999999999999997E-2</v>
      </c>
      <c r="H90" s="8"/>
      <c r="I90" s="5">
        <f t="shared" si="6"/>
        <v>0</v>
      </c>
    </row>
    <row r="91" spans="2:9" x14ac:dyDescent="0.3">
      <c r="B91" s="5" t="s">
        <v>8</v>
      </c>
      <c r="C91" s="5" t="s">
        <v>6</v>
      </c>
      <c r="D91" s="5">
        <v>124030001</v>
      </c>
      <c r="E91" s="5" t="s">
        <v>85</v>
      </c>
      <c r="F91" s="5" t="s">
        <v>10</v>
      </c>
      <c r="G91" s="5">
        <v>0.16</v>
      </c>
      <c r="H91" s="8"/>
      <c r="I91" s="5">
        <f t="shared" si="6"/>
        <v>0</v>
      </c>
    </row>
    <row r="92" spans="2:9" x14ac:dyDescent="0.3">
      <c r="B92" s="5" t="s">
        <v>8</v>
      </c>
      <c r="C92" s="5" t="s">
        <v>6</v>
      </c>
      <c r="D92" s="5">
        <v>124030002</v>
      </c>
      <c r="E92" s="5" t="s">
        <v>86</v>
      </c>
      <c r="F92" s="5" t="s">
        <v>128</v>
      </c>
      <c r="G92" s="5">
        <v>0.27200000000000002</v>
      </c>
      <c r="H92" s="8"/>
      <c r="I92" s="5">
        <f t="shared" si="6"/>
        <v>0</v>
      </c>
    </row>
    <row r="93" spans="2:9" x14ac:dyDescent="0.3">
      <c r="B93" s="5" t="s">
        <v>8</v>
      </c>
      <c r="C93" s="5" t="s">
        <v>6</v>
      </c>
      <c r="D93" s="5">
        <v>124030011</v>
      </c>
      <c r="E93" s="5" t="s">
        <v>87</v>
      </c>
      <c r="F93" s="5" t="s">
        <v>128</v>
      </c>
      <c r="G93" s="5">
        <v>0.5</v>
      </c>
      <c r="H93" s="8"/>
      <c r="I93" s="5">
        <f t="shared" si="6"/>
        <v>0</v>
      </c>
    </row>
    <row r="94" spans="2:9" x14ac:dyDescent="0.3">
      <c r="B94" s="5" t="s">
        <v>8</v>
      </c>
      <c r="C94" s="5" t="s">
        <v>6</v>
      </c>
      <c r="D94" s="5">
        <v>124180002</v>
      </c>
      <c r="E94" s="5" t="s">
        <v>88</v>
      </c>
      <c r="F94" s="5" t="s">
        <v>128</v>
      </c>
      <c r="G94" s="5">
        <v>0.2</v>
      </c>
      <c r="H94" s="8"/>
      <c r="I94" s="5">
        <f t="shared" si="6"/>
        <v>0</v>
      </c>
    </row>
    <row r="95" spans="2:9" x14ac:dyDescent="0.3">
      <c r="B95" s="5" t="s">
        <v>8</v>
      </c>
      <c r="C95" s="5" t="s">
        <v>6</v>
      </c>
      <c r="D95" s="5">
        <v>134300002</v>
      </c>
      <c r="E95" s="5" t="s">
        <v>89</v>
      </c>
      <c r="F95" s="5" t="s">
        <v>128</v>
      </c>
      <c r="G95" s="5">
        <v>0.2</v>
      </c>
      <c r="H95" s="8"/>
      <c r="I95" s="5">
        <f t="shared" si="6"/>
        <v>0</v>
      </c>
    </row>
    <row r="96" spans="2:9" x14ac:dyDescent="0.3">
      <c r="B96" s="5" t="s">
        <v>8</v>
      </c>
      <c r="C96" s="5" t="s">
        <v>6</v>
      </c>
      <c r="D96" s="5">
        <v>134300004</v>
      </c>
      <c r="E96" s="5" t="s">
        <v>90</v>
      </c>
      <c r="F96" s="5" t="s">
        <v>128</v>
      </c>
      <c r="G96" s="5">
        <v>4.5999999999999999E-2</v>
      </c>
      <c r="H96" s="8"/>
      <c r="I96" s="5">
        <f t="shared" si="6"/>
        <v>0</v>
      </c>
    </row>
    <row r="97" spans="2:9" x14ac:dyDescent="0.3">
      <c r="B97" s="5" t="s">
        <v>8</v>
      </c>
      <c r="C97" s="5" t="s">
        <v>6</v>
      </c>
      <c r="D97" s="5">
        <v>134300006</v>
      </c>
      <c r="E97" s="5" t="s">
        <v>91</v>
      </c>
      <c r="F97" s="5" t="s">
        <v>128</v>
      </c>
      <c r="G97" s="5">
        <v>0.1</v>
      </c>
      <c r="H97" s="8"/>
      <c r="I97" s="5">
        <f t="shared" si="6"/>
        <v>0</v>
      </c>
    </row>
    <row r="98" spans="2:9" x14ac:dyDescent="0.3">
      <c r="B98" s="5" t="s">
        <v>8</v>
      </c>
      <c r="C98" s="5" t="s">
        <v>6</v>
      </c>
      <c r="D98" s="5">
        <v>134310009</v>
      </c>
      <c r="E98" s="5" t="s">
        <v>92</v>
      </c>
      <c r="F98" s="5" t="s">
        <v>10</v>
      </c>
      <c r="G98" s="5">
        <v>0.14099999999999999</v>
      </c>
      <c r="H98" s="8"/>
      <c r="I98" s="5">
        <f t="shared" si="6"/>
        <v>0</v>
      </c>
    </row>
    <row r="99" spans="2:9" x14ac:dyDescent="0.3">
      <c r="B99" s="5" t="s">
        <v>8</v>
      </c>
      <c r="C99" s="5" t="s">
        <v>6</v>
      </c>
      <c r="D99" s="5">
        <v>134310020</v>
      </c>
      <c r="E99" s="5" t="s">
        <v>93</v>
      </c>
      <c r="F99" s="5" t="s">
        <v>128</v>
      </c>
      <c r="G99" s="5">
        <v>6.9000000000000006E-2</v>
      </c>
      <c r="H99" s="8"/>
      <c r="I99" s="5">
        <f t="shared" si="6"/>
        <v>0</v>
      </c>
    </row>
    <row r="100" spans="2:9" x14ac:dyDescent="0.3">
      <c r="B100" s="5" t="s">
        <v>8</v>
      </c>
      <c r="C100" s="5" t="s">
        <v>6</v>
      </c>
      <c r="D100" s="5">
        <v>134310032</v>
      </c>
      <c r="E100" s="5" t="s">
        <v>94</v>
      </c>
      <c r="F100" s="5" t="s">
        <v>128</v>
      </c>
      <c r="G100" s="5">
        <v>7.4999999999999997E-2</v>
      </c>
      <c r="H100" s="8"/>
      <c r="I100" s="5">
        <f t="shared" si="6"/>
        <v>0</v>
      </c>
    </row>
    <row r="101" spans="2:9" x14ac:dyDescent="0.3">
      <c r="B101" s="5" t="s">
        <v>8</v>
      </c>
      <c r="C101" s="5" t="s">
        <v>6</v>
      </c>
      <c r="D101" s="5">
        <v>124180038</v>
      </c>
      <c r="E101" s="5" t="s">
        <v>95</v>
      </c>
      <c r="F101" s="5" t="s">
        <v>128</v>
      </c>
      <c r="G101" s="5">
        <v>0.3</v>
      </c>
      <c r="H101" s="8"/>
      <c r="I101" s="5">
        <f t="shared" si="6"/>
        <v>0</v>
      </c>
    </row>
    <row r="102" spans="2:9" x14ac:dyDescent="0.3">
      <c r="B102" s="5" t="s">
        <v>8</v>
      </c>
      <c r="C102" s="5" t="s">
        <v>6</v>
      </c>
      <c r="D102" s="5">
        <v>124210061</v>
      </c>
      <c r="E102" s="5" t="s">
        <v>96</v>
      </c>
      <c r="F102" s="5" t="s">
        <v>128</v>
      </c>
      <c r="G102" s="5">
        <v>0.02</v>
      </c>
      <c r="H102" s="8"/>
      <c r="I102" s="5">
        <f t="shared" si="6"/>
        <v>0</v>
      </c>
    </row>
    <row r="103" spans="2:9" x14ac:dyDescent="0.3">
      <c r="B103" s="5" t="s">
        <v>8</v>
      </c>
      <c r="C103" s="5" t="s">
        <v>6</v>
      </c>
      <c r="D103" s="5">
        <v>134300021</v>
      </c>
      <c r="E103" s="5" t="s">
        <v>97</v>
      </c>
      <c r="F103" s="5" t="s">
        <v>128</v>
      </c>
      <c r="G103" s="5">
        <v>0.06</v>
      </c>
      <c r="H103" s="8"/>
      <c r="I103" s="5">
        <f t="shared" si="6"/>
        <v>0</v>
      </c>
    </row>
    <row r="104" spans="2:9" x14ac:dyDescent="0.3">
      <c r="B104" s="5" t="s">
        <v>8</v>
      </c>
      <c r="C104" s="5" t="s">
        <v>6</v>
      </c>
      <c r="D104" s="5">
        <v>134300027</v>
      </c>
      <c r="E104" s="5" t="s">
        <v>98</v>
      </c>
      <c r="F104" s="5" t="s">
        <v>128</v>
      </c>
      <c r="G104" s="5">
        <v>7.0000000000000007E-2</v>
      </c>
      <c r="H104" s="8"/>
      <c r="I104" s="5">
        <f t="shared" si="6"/>
        <v>0</v>
      </c>
    </row>
    <row r="105" spans="2:9" x14ac:dyDescent="0.3">
      <c r="B105" s="5" t="s">
        <v>8</v>
      </c>
      <c r="C105" s="5" t="s">
        <v>6</v>
      </c>
      <c r="D105" s="5">
        <v>124140026</v>
      </c>
      <c r="E105" s="5" t="s">
        <v>99</v>
      </c>
      <c r="F105" s="5" t="s">
        <v>128</v>
      </c>
      <c r="G105" s="5">
        <v>6.2E-2</v>
      </c>
      <c r="H105" s="8"/>
      <c r="I105" s="5">
        <f t="shared" si="6"/>
        <v>0</v>
      </c>
    </row>
    <row r="106" spans="2:9" x14ac:dyDescent="0.3">
      <c r="B106" s="5" t="s">
        <v>8</v>
      </c>
      <c r="C106" s="5" t="s">
        <v>6</v>
      </c>
      <c r="D106" s="5">
        <v>134190027</v>
      </c>
      <c r="E106" s="5" t="s">
        <v>100</v>
      </c>
      <c r="F106" s="5" t="s">
        <v>10</v>
      </c>
      <c r="G106" s="5">
        <v>1.0589999999999999</v>
      </c>
      <c r="H106" s="8"/>
      <c r="I106" s="5">
        <f t="shared" ref="I106:I111" si="7">H106*G106</f>
        <v>0</v>
      </c>
    </row>
    <row r="107" spans="2:9" x14ac:dyDescent="0.3">
      <c r="B107" s="5" t="s">
        <v>8</v>
      </c>
      <c r="C107" s="5" t="s">
        <v>6</v>
      </c>
      <c r="D107" s="5">
        <v>134190069</v>
      </c>
      <c r="E107" s="5" t="s">
        <v>101</v>
      </c>
      <c r="F107" s="5" t="s">
        <v>10</v>
      </c>
      <c r="G107" s="5">
        <v>3.4</v>
      </c>
      <c r="H107" s="8"/>
      <c r="I107" s="5">
        <f t="shared" si="7"/>
        <v>0</v>
      </c>
    </row>
    <row r="108" spans="2:9" x14ac:dyDescent="0.3">
      <c r="B108" s="5" t="s">
        <v>8</v>
      </c>
      <c r="C108" s="5" t="s">
        <v>6</v>
      </c>
      <c r="D108" s="5">
        <v>124150011</v>
      </c>
      <c r="E108" s="5" t="s">
        <v>102</v>
      </c>
      <c r="F108" s="5" t="s">
        <v>10</v>
      </c>
      <c r="G108" s="5">
        <v>0.01</v>
      </c>
      <c r="H108" s="8"/>
      <c r="I108" s="5">
        <f t="shared" si="7"/>
        <v>0</v>
      </c>
    </row>
    <row r="109" spans="2:9" x14ac:dyDescent="0.3">
      <c r="B109" s="5" t="s">
        <v>8</v>
      </c>
      <c r="C109" s="5" t="s">
        <v>6</v>
      </c>
      <c r="D109" s="5">
        <v>134780025</v>
      </c>
      <c r="E109" s="5" t="s">
        <v>115</v>
      </c>
      <c r="F109" s="5" t="s">
        <v>10</v>
      </c>
      <c r="G109" s="5">
        <v>0.35</v>
      </c>
      <c r="H109" s="8"/>
      <c r="I109" s="5">
        <f t="shared" si="7"/>
        <v>0</v>
      </c>
    </row>
    <row r="110" spans="2:9" x14ac:dyDescent="0.3">
      <c r="B110" s="5" t="s">
        <v>8</v>
      </c>
      <c r="C110" s="5" t="s">
        <v>6</v>
      </c>
      <c r="D110" s="5">
        <v>124210075</v>
      </c>
      <c r="E110" s="5" t="s">
        <v>116</v>
      </c>
      <c r="F110" s="5" t="s">
        <v>128</v>
      </c>
      <c r="G110" s="5">
        <v>0.01</v>
      </c>
      <c r="H110" s="8"/>
      <c r="I110" s="5">
        <f t="shared" si="7"/>
        <v>0</v>
      </c>
    </row>
    <row r="111" spans="2:9" x14ac:dyDescent="0.3">
      <c r="B111" s="5" t="s">
        <v>8</v>
      </c>
      <c r="C111" s="5" t="s">
        <v>6</v>
      </c>
      <c r="D111" s="5">
        <v>108200015</v>
      </c>
      <c r="E111" s="5" t="s">
        <v>117</v>
      </c>
      <c r="F111" s="5" t="s">
        <v>128</v>
      </c>
      <c r="G111" s="5">
        <v>5.0000000000000001E-3</v>
      </c>
      <c r="H111" s="8"/>
      <c r="I111" s="5">
        <f t="shared" si="7"/>
        <v>0</v>
      </c>
    </row>
    <row r="137" spans="2:2" x14ac:dyDescent="0.3">
      <c r="B137" s="7"/>
    </row>
    <row r="138" spans="2:2" x14ac:dyDescent="0.3">
      <c r="B138" s="7"/>
    </row>
    <row r="139" spans="2:2" x14ac:dyDescent="0.3">
      <c r="B139" s="7"/>
    </row>
    <row r="140" spans="2:2" x14ac:dyDescent="0.3">
      <c r="B140" s="7"/>
    </row>
    <row r="141" spans="2:2" x14ac:dyDescent="0.3">
      <c r="B141" s="7"/>
    </row>
    <row r="142" spans="2:2" x14ac:dyDescent="0.3">
      <c r="B142" s="7"/>
    </row>
    <row r="143" spans="2:2" x14ac:dyDescent="0.3">
      <c r="B143" s="7"/>
    </row>
    <row r="144" spans="2:2" x14ac:dyDescent="0.3">
      <c r="B144" s="7"/>
    </row>
    <row r="145" spans="2:2" x14ac:dyDescent="0.3">
      <c r="B145" s="7"/>
    </row>
    <row r="146" spans="2:2" x14ac:dyDescent="0.3">
      <c r="B146" s="7"/>
    </row>
    <row r="147" spans="2:2" x14ac:dyDescent="0.3">
      <c r="B147" s="7"/>
    </row>
    <row r="148" spans="2:2" x14ac:dyDescent="0.3">
      <c r="B148" s="7"/>
    </row>
    <row r="149" spans="2:2" x14ac:dyDescent="0.3">
      <c r="B149" s="7"/>
    </row>
    <row r="150" spans="2:2" x14ac:dyDescent="0.3">
      <c r="B150" s="7"/>
    </row>
    <row r="151" spans="2:2" x14ac:dyDescent="0.3">
      <c r="B151" s="7"/>
    </row>
    <row r="152" spans="2:2" x14ac:dyDescent="0.3">
      <c r="B152" s="7"/>
    </row>
    <row r="153" spans="2:2" x14ac:dyDescent="0.3">
      <c r="B153" s="7"/>
    </row>
    <row r="154" spans="2:2" x14ac:dyDescent="0.3">
      <c r="B154" s="7"/>
    </row>
    <row r="155" spans="2:2" x14ac:dyDescent="0.3">
      <c r="B155" s="7"/>
    </row>
    <row r="156" spans="2:2" x14ac:dyDescent="0.3">
      <c r="B156" s="7"/>
    </row>
    <row r="157" spans="2:2" x14ac:dyDescent="0.3">
      <c r="B157" s="7"/>
    </row>
    <row r="158" spans="2:2" x14ac:dyDescent="0.3">
      <c r="B158" s="7"/>
    </row>
    <row r="159" spans="2:2" x14ac:dyDescent="0.3">
      <c r="B159" s="7"/>
    </row>
    <row r="160" spans="2:2" x14ac:dyDescent="0.3">
      <c r="B160" s="7"/>
    </row>
    <row r="161" spans="2:2" x14ac:dyDescent="0.3">
      <c r="B161" s="7"/>
    </row>
    <row r="162" spans="2:2" x14ac:dyDescent="0.3">
      <c r="B162" s="7"/>
    </row>
    <row r="163" spans="2:2" x14ac:dyDescent="0.3">
      <c r="B163" s="7"/>
    </row>
    <row r="164" spans="2:2" x14ac:dyDescent="0.3">
      <c r="B164" s="7"/>
    </row>
    <row r="165" spans="2:2" x14ac:dyDescent="0.3">
      <c r="B165" s="7"/>
    </row>
    <row r="166" spans="2:2" x14ac:dyDescent="0.3">
      <c r="B166" s="7"/>
    </row>
    <row r="167" spans="2:2" x14ac:dyDescent="0.3">
      <c r="B167" s="7"/>
    </row>
    <row r="168" spans="2:2" x14ac:dyDescent="0.3">
      <c r="B168" s="7"/>
    </row>
    <row r="169" spans="2:2" x14ac:dyDescent="0.3">
      <c r="B169" s="7"/>
    </row>
    <row r="170" spans="2:2" x14ac:dyDescent="0.3">
      <c r="B170" s="7"/>
    </row>
    <row r="171" spans="2:2" x14ac:dyDescent="0.3">
      <c r="B171" s="7"/>
    </row>
    <row r="172" spans="2:2" x14ac:dyDescent="0.3">
      <c r="B172" s="7"/>
    </row>
    <row r="173" spans="2:2" x14ac:dyDescent="0.3">
      <c r="B173" s="7"/>
    </row>
    <row r="174" spans="2:2" x14ac:dyDescent="0.3">
      <c r="B174" s="7"/>
    </row>
    <row r="175" spans="2:2" x14ac:dyDescent="0.3">
      <c r="B175" s="7"/>
    </row>
    <row r="176" spans="2:2" x14ac:dyDescent="0.3">
      <c r="B176" s="7"/>
    </row>
    <row r="177" spans="2:2" x14ac:dyDescent="0.3">
      <c r="B177" s="7"/>
    </row>
    <row r="178" spans="2:2" x14ac:dyDescent="0.3">
      <c r="B178" s="7"/>
    </row>
    <row r="179" spans="2:2" x14ac:dyDescent="0.3">
      <c r="B179" s="7"/>
    </row>
    <row r="180" spans="2:2" x14ac:dyDescent="0.3">
      <c r="B180" s="7"/>
    </row>
    <row r="181" spans="2:2" x14ac:dyDescent="0.3">
      <c r="B181" s="7"/>
    </row>
    <row r="182" spans="2:2" x14ac:dyDescent="0.3">
      <c r="B182" s="7"/>
    </row>
    <row r="183" spans="2:2" x14ac:dyDescent="0.3">
      <c r="B183" s="7"/>
    </row>
    <row r="184" spans="2:2" x14ac:dyDescent="0.3">
      <c r="B184" s="7"/>
    </row>
    <row r="185" spans="2:2" x14ac:dyDescent="0.3">
      <c r="B185" s="7"/>
    </row>
    <row r="186" spans="2:2" x14ac:dyDescent="0.3">
      <c r="B186" s="7"/>
    </row>
    <row r="187" spans="2:2" x14ac:dyDescent="0.3">
      <c r="B187" s="7"/>
    </row>
    <row r="188" spans="2:2" x14ac:dyDescent="0.3">
      <c r="B188" s="7"/>
    </row>
    <row r="189" spans="2:2" x14ac:dyDescent="0.3">
      <c r="B189" s="7"/>
    </row>
    <row r="190" spans="2:2" x14ac:dyDescent="0.3">
      <c r="B190" s="7"/>
    </row>
    <row r="191" spans="2:2" x14ac:dyDescent="0.3">
      <c r="B191" s="7"/>
    </row>
    <row r="192" spans="2:2" x14ac:dyDescent="0.3">
      <c r="B192" s="7"/>
    </row>
    <row r="193" spans="2:2" x14ac:dyDescent="0.3">
      <c r="B193" s="7"/>
    </row>
    <row r="194" spans="2:2" x14ac:dyDescent="0.3">
      <c r="B194" s="7"/>
    </row>
    <row r="195" spans="2:2" x14ac:dyDescent="0.3">
      <c r="B195" s="7"/>
    </row>
    <row r="196" spans="2:2" x14ac:dyDescent="0.3">
      <c r="B196" s="7"/>
    </row>
    <row r="197" spans="2:2" x14ac:dyDescent="0.3">
      <c r="B197" s="7"/>
    </row>
    <row r="198" spans="2:2" x14ac:dyDescent="0.3">
      <c r="B198" s="7"/>
    </row>
    <row r="199" spans="2:2" x14ac:dyDescent="0.3">
      <c r="B199" s="7"/>
    </row>
    <row r="200" spans="2:2" x14ac:dyDescent="0.3">
      <c r="B200" s="7"/>
    </row>
    <row r="201" spans="2:2" x14ac:dyDescent="0.3">
      <c r="B201" s="7"/>
    </row>
    <row r="202" spans="2:2" x14ac:dyDescent="0.3">
      <c r="B202" s="7"/>
    </row>
    <row r="203" spans="2:2" x14ac:dyDescent="0.3">
      <c r="B203" s="7"/>
    </row>
    <row r="204" spans="2:2" x14ac:dyDescent="0.3">
      <c r="B204" s="7"/>
    </row>
    <row r="205" spans="2:2" x14ac:dyDescent="0.3">
      <c r="B205" s="7"/>
    </row>
    <row r="206" spans="2:2" x14ac:dyDescent="0.3">
      <c r="B206" s="7"/>
    </row>
    <row r="207" spans="2:2" x14ac:dyDescent="0.3">
      <c r="B207" s="7"/>
    </row>
    <row r="208" spans="2:2" x14ac:dyDescent="0.3">
      <c r="B208" s="7"/>
    </row>
    <row r="209" spans="2:2" x14ac:dyDescent="0.3">
      <c r="B209" s="7"/>
    </row>
    <row r="210" spans="2:2" x14ac:dyDescent="0.3">
      <c r="B210" s="7"/>
    </row>
    <row r="211" spans="2:2" x14ac:dyDescent="0.3">
      <c r="B211" s="7"/>
    </row>
    <row r="212" spans="2:2" x14ac:dyDescent="0.3">
      <c r="B212" s="7"/>
    </row>
    <row r="213" spans="2:2" x14ac:dyDescent="0.3">
      <c r="B213" s="7"/>
    </row>
    <row r="214" spans="2:2" x14ac:dyDescent="0.3">
      <c r="B214" s="7"/>
    </row>
    <row r="215" spans="2:2" x14ac:dyDescent="0.3">
      <c r="B215" s="7"/>
    </row>
    <row r="216" spans="2:2" x14ac:dyDescent="0.3">
      <c r="B216" s="7"/>
    </row>
    <row r="217" spans="2:2" x14ac:dyDescent="0.3">
      <c r="B217" s="7"/>
    </row>
  </sheetData>
  <sheetProtection algorithmName="SHA-512" hashValue="2yTo6uDge0prZH/mamp0Jra0WWFD8e1qsIiQFTzSMd4WIR0oooekDX0RZCBiskwjrcQTO+o+ff4hDipVlvlV3Q==" saltValue="98gf3YsoTn770AObbeYdbg==" spinCount="100000" sheet="1" objects="1" scenarios="1" selectLockedCells="1" autoFilter="0"/>
  <mergeCells count="1">
    <mergeCell ref="E2:H3"/>
  </mergeCells>
  <conditionalFormatting sqref="D6:D111">
    <cfRule type="duplicateValues" dxfId="10" priority="18"/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9</vt:i4>
      </vt:variant>
    </vt:vector>
  </HeadingPairs>
  <TitlesOfParts>
    <vt:vector size="12" baseType="lpstr">
      <vt:lpstr>SINTESE</vt:lpstr>
      <vt:lpstr>VALID</vt:lpstr>
      <vt:lpstr>MATERIAIS</vt:lpstr>
      <vt:lpstr>SINTESE!Area_de_impressao</vt:lpstr>
      <vt:lpstr>BACABAL</vt:lpstr>
      <vt:lpstr>DISTRITAL</vt:lpstr>
      <vt:lpstr>ITAPECURU</vt:lpstr>
      <vt:lpstr>ITAPECURU_MIRIM</vt:lpstr>
      <vt:lpstr>P.DUTRA</vt:lpstr>
      <vt:lpstr>PEDREIRAS</vt:lpstr>
      <vt:lpstr>PRESIDENTE_DUTRA</vt:lpstr>
      <vt:lpstr>SANTA_INES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Italo Fontes</cp:lastModifiedBy>
  <cp:revision/>
  <cp:lastPrinted>2025-08-14T20:31:00Z</cp:lastPrinted>
  <dcterms:created xsi:type="dcterms:W3CDTF">2023-10-03T12:42:51Z</dcterms:created>
  <dcterms:modified xsi:type="dcterms:W3CDTF">2026-06-05T14:34:19Z</dcterms:modified>
  <cp:category/>
  <cp:contentStatus/>
</cp:coreProperties>
</file>