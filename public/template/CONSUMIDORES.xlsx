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CONSUMIDORES#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O29" authorId="0">
      <text>
        <r>
          <rPr>
            <b/>
            <color indexed="81"/>
            <family val="2"/>
            <sz val="9"/>
            <rFont val="Tahoma"/>
          </rPr>
          <t>Cliente Possui Padrão</t>
        </r>
      </text>
    </comment>
    <comment ref="P29" authorId="0">
      <text>
        <r>
          <rPr>
            <b/>
            <color indexed="81"/>
            <family val="2"/>
            <sz val="6"/>
            <rFont val="Tahoma"/>
          </rPr>
          <t>DO POSTE ATÉ O PADRÃO</t>
        </r>
        <r>
          <rPr>
            <b/>
            <color indexed="81"/>
            <family val="2"/>
            <sz val="8"/>
            <rFont val="Tahoma"/>
          </rPr>
          <t xml:space="preserve">
</t>
        </r>
      </text>
    </comment>
    <comment ref="Q29" authorId="0">
      <text>
        <r>
          <rPr>
            <b/>
            <color indexed="81"/>
            <family val="2"/>
            <sz val="6"/>
            <rFont val="Tahoma"/>
          </rPr>
          <t>DO PADRÃO ATÉ O BERAL DA CASA</t>
        </r>
        <r>
          <rPr>
            <color indexed="81"/>
            <family val="2"/>
            <sz val="8"/>
            <rFont val="Tahoma"/>
          </rPr>
          <t xml:space="preserve">
</t>
        </r>
      </text>
    </comment>
    <comment ref="R29" authorId="0">
      <text>
        <r>
          <rPr>
            <b/>
            <color indexed="81"/>
            <family val="2"/>
            <sz val="6"/>
            <rFont val="Tahoma"/>
          </rPr>
          <t>DO POSTE ATÉ O PADRÃO</t>
        </r>
        <r>
          <rPr>
            <b/>
            <color indexed="81"/>
            <family val="2"/>
            <sz val="8"/>
            <rFont val="Tahoma"/>
          </rPr>
          <t xml:space="preserve">
</t>
        </r>
      </text>
    </comment>
    <comment ref="S29" authorId="0">
      <text>
        <r>
          <rPr>
            <b/>
            <color indexed="81"/>
            <family val="2"/>
            <sz val="6"/>
            <rFont val="Tahoma"/>
          </rPr>
          <t>DO PADRÃO ATÉ O BERAL DA CASA</t>
        </r>
        <r>
          <rPr>
            <color indexed="81"/>
            <family val="2"/>
            <sz val="8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<sst xmlns="http://schemas.openxmlformats.org/spreadsheetml/2006/main" count="32" uniqueCount="29">
  <si>
    <t xml:space="preserve">Relação de Consumidores Ligados na Obra                                                             </t>
  </si>
  <si>
    <t>Descrição da Obra</t>
  </si>
  <si>
    <t>Fornecedor</t>
  </si>
  <si>
    <t>Téc da Obra</t>
  </si>
  <si>
    <t>ZOZIMO MENDES</t>
  </si>
  <si>
    <t>Elemento PEP</t>
  </si>
  <si>
    <t>Regional</t>
  </si>
  <si>
    <t>CENTRO</t>
  </si>
  <si>
    <t>Data da Conclusão</t>
  </si>
  <si>
    <t>Localidade</t>
  </si>
  <si>
    <t>Data da Energização</t>
  </si>
  <si>
    <t>Município</t>
  </si>
  <si>
    <t>Nº</t>
  </si>
  <si>
    <t>NOME</t>
  </si>
  <si>
    <t>NÚMERO DO MEDIDOR</t>
  </si>
  <si>
    <t>TIPO DE LIGAÇÃO</t>
  </si>
  <si>
    <t>PADRÃO</t>
  </si>
  <si>
    <t>RAMAL DUPLEX (M)</t>
  </si>
  <si>
    <t>RAMAL TRIPLEX (M)</t>
  </si>
  <si>
    <t>POSTE DE LIGAÇÃO</t>
  </si>
  <si>
    <t>DATA LIGAÇÃO</t>
  </si>
  <si>
    <t>MO</t>
  </si>
  <si>
    <t>BI</t>
  </si>
  <si>
    <t>TRI</t>
  </si>
  <si>
    <t>5M</t>
  </si>
  <si>
    <t>7M</t>
  </si>
  <si>
    <t>CPP</t>
  </si>
  <si>
    <t>KIT</t>
  </si>
  <si>
    <t>PG OU COORDENADA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</si>
</sst>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;@"/>
    <numFmt numFmtId="165" formatCode="00000000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family val="2"/>
      <sz val="11"/>
      <name val="Arial"/>
    </font>
    <font>
      <b/>
      <family val="2"/>
      <scheme val="minor"/>
      <sz val="15"/>
      <name val="Calibri"/>
    </font>
    <font>
      <color theme="0"/>
      <family val="2"/>
      <sz val="11"/>
      <name val="Arial"/>
    </font>
    <font>
      <b/>
      <color theme="0"/>
      <family val="2"/>
      <sz val="11"/>
      <name val="Arial"/>
    </font>
    <font>
      <color theme="1"/>
      <family val="2"/>
      <sz val="10"/>
      <name val="Arial"/>
    </font>
    <font>
      <b/>
      <color theme="1"/>
      <family val="2"/>
      <sz val="10"/>
      <name val="Arial"/>
    </font>
    <font>
      <b/>
      <family val="2"/>
      <sz val="8"/>
      <name val="Arial"/>
    </font>
    <font>
      <family val="2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35">
    <border>
      <left/>
      <right/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dotted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0" fillId="0" borderId="10" xfId="0" applyBorder="1"/>
    <xf numFmtId="0" fontId="6" fillId="2" borderId="11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14" fontId="6" fillId="0" borderId="14" xfId="0" applyNumberFormat="1" applyFont="1" applyBorder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left" vertical="center"/>
    </xf>
    <xf numFmtId="14" fontId="6" fillId="0" borderId="0" xfId="0" applyNumberFormat="1" applyFont="1" applyAlignment="1">
      <alignment vertical="center"/>
    </xf>
    <xf numFmtId="14" fontId="6" fillId="2" borderId="9" xfId="0" applyNumberFormat="1" applyFont="1" applyFill="1" applyBorder="1" applyAlignment="1">
      <alignment horizontal="left" vertical="center"/>
    </xf>
    <xf numFmtId="14" fontId="6" fillId="2" borderId="11" xfId="0" applyNumberFormat="1" applyFont="1" applyFill="1" applyBorder="1" applyAlignment="1">
      <alignment horizontal="left" vertical="center"/>
    </xf>
    <xf numFmtId="14" fontId="6" fillId="2" borderId="12" xfId="0" applyNumberFormat="1" applyFont="1" applyFill="1" applyBorder="1" applyAlignment="1">
      <alignment horizontal="left" vertical="center"/>
    </xf>
    <xf numFmtId="14" fontId="6" fillId="2" borderId="16" xfId="0" applyNumberFormat="1" applyFont="1" applyFill="1" applyBorder="1" applyAlignment="1">
      <alignment horizontal="left" vertical="center"/>
    </xf>
    <xf numFmtId="14" fontId="6" fillId="0" borderId="9" xfId="0" applyNumberFormat="1" applyFont="1" applyBorder="1" applyAlignment="1">
      <alignment vertical="center"/>
    </xf>
    <xf numFmtId="14" fontId="6" fillId="0" borderId="12" xfId="0" applyNumberFormat="1" applyFont="1" applyBorder="1" applyAlignment="1">
      <alignment vertic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/>
    <xf numFmtId="0" fontId="0" fillId="0" borderId="19" xfId="0" applyBorder="1"/>
    <xf numFmtId="0" fontId="0" fillId="0" borderId="4" xfId="0" applyBorder="1" applyAlignment="1">
      <alignment horizontal="justify" vertical="center" wrapText="1"/>
    </xf>
    <xf numFmtId="0" fontId="0" fillId="0" borderId="5" xfId="0" applyBorder="1" applyAlignment="1">
      <alignment horizontal="justify" vertical="center"/>
    </xf>
    <xf numFmtId="0" fontId="0" fillId="0" borderId="6" xfId="0" applyBorder="1" applyAlignment="1">
      <alignment horizontal="justify" vertical="center"/>
    </xf>
    <xf numFmtId="0" fontId="0" fillId="0" borderId="17" xfId="0" applyBorder="1" applyAlignment="1">
      <alignment horizontal="justify" vertical="center"/>
    </xf>
    <xf numFmtId="0" fontId="0" fillId="0" borderId="18" xfId="0" applyBorder="1" applyAlignment="1">
      <alignment horizontal="justify" vertical="center"/>
    </xf>
    <xf numFmtId="0" fontId="0" fillId="0" borderId="19" xfId="0" applyBorder="1" applyAlignment="1">
      <alignment horizontal="justify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164" fontId="8" fillId="2" borderId="20" xfId="0" applyNumberFormat="1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64" fontId="8" fillId="2" borderId="24" xfId="0" applyNumberFormat="1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165" fontId="8" fillId="2" borderId="32" xfId="0" applyNumberFormat="1" applyFont="1" applyFill="1" applyBorder="1" applyAlignment="1">
      <alignment horizontal="center" vertical="center" wrapText="1"/>
    </xf>
    <xf numFmtId="165" fontId="8" fillId="2" borderId="33" xfId="0" applyNumberFormat="1" applyFont="1" applyFill="1" applyBorder="1" applyAlignment="1">
      <alignment horizontal="center" vertical="center" wrapText="1"/>
    </xf>
    <xf numFmtId="164" fontId="8" fillId="2" borderId="30" xfId="0" applyNumberFormat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34" xfId="0" applyFont="1" applyBorder="1" applyAlignment="1">
      <alignment horizontal="center" vertical="center"/>
    </xf>
    <xf numFmtId="0" fontId="9" fillId="0" borderId="34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9" fillId="0" borderId="33" xfId="0" applyFont="1" applyBorder="1" applyAlignment="1">
      <alignment horizontal="center" vertical="center"/>
    </xf>
    <xf numFmtId="0" fontId="9" fillId="0" borderId="31" xfId="0" applyFont="1" applyBorder="1" applyAlignment="1">
      <alignment vertical="center"/>
    </xf>
    <xf numFmtId="0" fontId="9" fillId="0" borderId="32" xfId="0" applyFont="1" applyBorder="1" applyAlignment="1">
      <alignment horizontal="center" vertical="center"/>
    </xf>
    <xf numFmtId="14" fontId="9" fillId="0" borderId="33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23</xdr:col>
      <xdr:colOff>19050</xdr:colOff>
      <xdr:row>6</xdr:row>
      <xdr:rowOff>85724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8"/>
  </sheetPr>
  <dimension ref="A1:W524"/>
  <sheetViews>
    <sheetView workbookViewId="0" showGridLines="0" zoomScale="96" zoomScaleNormal="96"/>
  </sheetViews>
  <sheetFormatPr defaultRowHeight="21" outlineLevelRow="0" outlineLevelCol="0" x14ac:dyDescent="0.25" customHeight="1"/>
  <cols>
    <col min="1" max="1" width="0.6640625" style="1" customWidth="1"/>
    <col min="2" max="2" width="3.33203125" style="1" customWidth="1"/>
    <col min="3" max="3" width="36.109375" style="2" customWidth="1"/>
    <col min="4" max="4" width="8.109375" style="3" customWidth="1"/>
    <col min="5" max="5" width="18" style="2" customWidth="1"/>
    <col min="6" max="6" width="9.109375" style="2" customWidth="1"/>
    <col min="7" max="7" width="5.6640625" style="2" customWidth="1"/>
    <col min="8" max="8" width="2.5546875" style="2" hidden="1" customWidth="1"/>
    <col min="9" max="9" width="12.33203125" style="3" customWidth="1"/>
    <col min="10" max="10" width="4.5546875" style="2" customWidth="1"/>
    <col min="11" max="11" width="3.33203125" style="2" customWidth="1"/>
    <col min="12" max="12" width="12.109375" style="2" customWidth="1"/>
    <col min="13" max="14" width="4.109375" style="2" customWidth="1"/>
    <col min="15" max="15" width="16.5546875" style="2" customWidth="1"/>
    <col min="16" max="16" width="9.44140625" style="2" customWidth="1"/>
    <col min="17" max="17" width="4.33203125" style="2" customWidth="1"/>
    <col min="18" max="18" width="9.44140625" style="2" customWidth="1"/>
    <col min="19" max="19" width="4.33203125" style="2" customWidth="1"/>
    <col min="20" max="20" width="9" style="2" hidden="1" customWidth="1"/>
    <col min="21" max="21" width="12.33203125" style="2" customWidth="1"/>
    <col min="22" max="22" width="15.33203125" style="3" customWidth="1"/>
    <col min="23" max="23" width="0.6640625" style="1" customWidth="1"/>
    <col min="24" max="24" width="0.88671875" style="1" customWidth="1"/>
    <col min="25" max="25" style="1" hidden="1" customWidth="1"/>
    <col min="26" max="16384" width="9.109375" style="1" hidden="1" customWidth="1"/>
  </cols>
  <sheetData>
    <row r="1" ht="14.25" customHeight="1" spans="1:22" x14ac:dyDescent="0.25">
      <c r="A1" s="1">
        <f>IF(A2="","","")</f>
      </c>
      <c r="C1" s="1"/>
      <c r="D1" s="4"/>
      <c r="E1" s="1"/>
      <c r="F1" s="1"/>
      <c r="G1" s="1"/>
      <c r="H1" s="1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"/>
    </row>
    <row r="2" ht="14.25" customHeight="1" spans="3:22" x14ac:dyDescent="0.25">
      <c r="C2" s="1"/>
      <c r="D2" s="4"/>
      <c r="E2" s="1"/>
      <c r="F2" s="1"/>
      <c r="G2" s="1"/>
      <c r="H2" s="1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4"/>
    </row>
    <row r="3" ht="14.25" customHeight="1" spans="3:22" x14ac:dyDescent="0.25">
      <c r="C3" s="1"/>
      <c r="D3" s="4"/>
      <c r="E3" s="1"/>
      <c r="F3" s="1"/>
      <c r="G3" s="1"/>
      <c r="H3" s="1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4"/>
    </row>
    <row r="4" ht="14.25" customHeight="1" spans="3:22" x14ac:dyDescent="0.25">
      <c r="C4" s="1"/>
      <c r="D4" s="4"/>
      <c r="E4" s="1"/>
      <c r="F4" s="1"/>
      <c r="G4" s="1"/>
      <c r="H4" s="1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4"/>
    </row>
    <row r="5" ht="14.25" customHeight="1" spans="3:22" x14ac:dyDescent="0.25">
      <c r="C5" s="1"/>
      <c r="D5" s="4"/>
      <c r="E5" s="1"/>
      <c r="F5" s="1"/>
      <c r="G5" s="1"/>
      <c r="H5" s="1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4"/>
    </row>
    <row r="6" ht="14.25" customHeight="1" spans="3:22" x14ac:dyDescent="0.25">
      <c r="C6" s="1"/>
      <c r="D6" s="4"/>
      <c r="E6" s="1"/>
      <c r="F6" s="1"/>
      <c r="G6" s="1"/>
      <c r="H6" s="1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4"/>
    </row>
    <row r="7" ht="14.25" customHeight="1" spans="3:22" x14ac:dyDescent="0.25">
      <c r="C7" s="1"/>
      <c r="D7" s="4"/>
      <c r="E7" s="1"/>
      <c r="F7" s="1"/>
      <c r="G7" s="1"/>
      <c r="H7" s="1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4"/>
    </row>
    <row r="8" ht="34.5" customHeight="1" spans="2:23" x14ac:dyDescent="0.25">
      <c r="B8" s="5" t="s">
        <v>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7"/>
    </row>
    <row r="9" ht="9.9" customHeight="1" spans="3:22" x14ac:dyDescent="0.25">
      <c r="C9" s="1"/>
      <c r="D9" s="4"/>
      <c r="E9" s="1"/>
      <c r="F9" s="1"/>
      <c r="G9" s="1"/>
      <c r="H9" s="1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4"/>
    </row>
    <row r="10" ht="13.8" customHeight="1" spans="3:22" x14ac:dyDescent="0.25">
      <c r="C10" s="1"/>
      <c r="D10" s="4"/>
      <c r="E10" s="1"/>
      <c r="F10" s="1"/>
      <c r="G10" s="1"/>
      <c r="H10" s="1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4"/>
    </row>
    <row r="11" ht="13.8" customHeight="1" spans="3:22" x14ac:dyDescent="0.25">
      <c r="C11" s="1"/>
      <c r="D11" s="4"/>
      <c r="E11" s="1"/>
      <c r="F11" s="1"/>
      <c r="G11" s="1"/>
      <c r="H11" s="1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4"/>
    </row>
    <row r="12" ht="13.8" customHeight="1" spans="3:22" x14ac:dyDescent="0.25">
      <c r="C12" s="1"/>
      <c r="D12" s="4"/>
      <c r="E12" s="8">
        <f>IFERROR(IF(#REF!="","",IF(AND(#REF!&lt;&gt;"Torre",#REF!&lt;&gt;"PLPT"),#REF!,IF(OR(#REF!="Torre",#REF!="PLPT"),MID(E16,11,3)))),"")</f>
      </c>
      <c r="F12" s="1"/>
      <c r="G12" s="1"/>
      <c r="H12" s="1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4"/>
    </row>
    <row r="13" ht="3.75" customHeight="1" spans="2:23" x14ac:dyDescent="0.25">
      <c r="B13" s="9"/>
      <c r="C13" s="10"/>
      <c r="D13" s="11"/>
      <c r="E13" s="12"/>
      <c r="F13" s="10"/>
      <c r="G13" s="10"/>
      <c r="H13" s="10"/>
      <c r="I13" s="11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  <c r="W13" s="13"/>
    </row>
    <row r="14" ht="18" customHeight="1" spans="2:23" s="14" customFormat="1" x14ac:dyDescent="0.25">
      <c r="B14" s="15"/>
      <c r="C14" s="16" t="s">
        <v>1</v>
      </c>
      <c r="D14" s="17"/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20"/>
    </row>
    <row r="15" ht="17.25" customHeight="1" spans="2:23" s="14" customFormat="1" x14ac:dyDescent="0.25">
      <c r="B15" s="15"/>
      <c r="C15" s="16" t="s">
        <v>2</v>
      </c>
      <c r="D15" s="17"/>
      <c r="E15" s="21"/>
      <c r="F15" s="22"/>
      <c r="G15" s="22"/>
      <c r="H15" s="22"/>
      <c r="I15" s="23"/>
      <c r="J15" s="22"/>
      <c r="K15" s="24"/>
      <c r="L15" s="25" t="s">
        <v>3</v>
      </c>
      <c r="M15" s="26"/>
      <c r="N15" s="26"/>
      <c r="O15" s="19" t="s">
        <v>4</v>
      </c>
      <c r="P15" s="19"/>
      <c r="Q15" s="19"/>
      <c r="R15" s="19"/>
      <c r="S15" s="19"/>
      <c r="T15" s="19"/>
      <c r="U15" s="19"/>
      <c r="V15" s="19"/>
      <c r="W15" s="27"/>
    </row>
    <row r="16" ht="17.25" customHeight="1" spans="2:23" s="14" customFormat="1" x14ac:dyDescent="0.25">
      <c r="B16" s="15"/>
      <c r="C16" s="16" t="s">
        <v>5</v>
      </c>
      <c r="D16" s="17"/>
      <c r="E16" s="18"/>
      <c r="F16" s="19"/>
      <c r="G16" s="19"/>
      <c r="H16" s="19"/>
      <c r="I16" s="19"/>
      <c r="J16" s="28"/>
      <c r="L16" s="16" t="s">
        <v>6</v>
      </c>
      <c r="M16" s="29"/>
      <c r="N16" s="29"/>
      <c r="O16" s="30" t="s">
        <v>7</v>
      </c>
      <c r="P16" s="30"/>
      <c r="Q16" s="30"/>
      <c r="R16" s="30"/>
      <c r="S16" s="30"/>
      <c r="T16" s="30"/>
      <c r="U16" s="30"/>
      <c r="V16" s="30"/>
      <c r="W16" s="20"/>
    </row>
    <row r="17" ht="18" customHeight="1" spans="2:23" s="14" customFormat="1" x14ac:dyDescent="0.25">
      <c r="B17" s="15"/>
      <c r="C17" s="16" t="s">
        <v>8</v>
      </c>
      <c r="D17" s="17"/>
      <c r="E17" s="31">
        <f>IF([1]DADOS!$D$8="","",[1]DADOS!$D$8)</f>
      </c>
      <c r="F17" s="32"/>
      <c r="G17" s="32"/>
      <c r="H17" s="32"/>
      <c r="I17" s="32"/>
      <c r="J17" s="33"/>
      <c r="L17" s="16" t="s">
        <v>9</v>
      </c>
      <c r="M17" s="34"/>
      <c r="N17" s="34"/>
      <c r="O17" s="22"/>
      <c r="P17" s="22"/>
      <c r="Q17" s="22"/>
      <c r="R17" s="22"/>
      <c r="S17" s="22"/>
      <c r="T17" s="22"/>
      <c r="U17" s="22"/>
      <c r="V17" s="22"/>
      <c r="W17" s="20"/>
    </row>
    <row r="18" ht="18" customHeight="1" spans="2:23" s="14" customFormat="1" x14ac:dyDescent="0.25">
      <c r="B18" s="15"/>
      <c r="C18" s="16" t="s">
        <v>10</v>
      </c>
      <c r="D18" s="17"/>
      <c r="E18" s="31">
        <f>IF([1]DADOS!$D$8="","",[1]DADOS!$D$8)</f>
      </c>
      <c r="F18" s="32"/>
      <c r="G18" s="32"/>
      <c r="H18" s="32"/>
      <c r="I18" s="32"/>
      <c r="J18" s="33"/>
      <c r="L18" s="16" t="s">
        <v>11</v>
      </c>
      <c r="M18" s="35"/>
      <c r="N18" s="35"/>
      <c r="O18" s="22"/>
      <c r="P18" s="22"/>
      <c r="Q18" s="22"/>
      <c r="R18" s="22"/>
      <c r="S18" s="22"/>
      <c r="T18" s="22"/>
      <c r="U18" s="22"/>
      <c r="V18" s="22"/>
      <c r="W18" s="20"/>
    </row>
    <row r="19" ht="3.75" customHeight="1" spans="2:23" x14ac:dyDescent="0.25">
      <c r="B19" s="36"/>
      <c r="C19" s="37"/>
      <c r="D19" s="38"/>
      <c r="E19" s="39"/>
      <c r="F19" s="37"/>
      <c r="G19" s="37"/>
      <c r="H19" s="37"/>
      <c r="I19" s="38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8"/>
      <c r="W19" s="40"/>
    </row>
    <row r="20" ht="9.9" customHeight="1" spans="3:22" x14ac:dyDescent="0.25">
      <c r="C20" s="1"/>
      <c r="D20" s="4"/>
      <c r="E20" s="1"/>
      <c r="F20" s="1"/>
      <c r="G20" s="1"/>
      <c r="H20" s="1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4"/>
    </row>
    <row r="21" ht="13.8" customHeight="1" spans="3:22" x14ac:dyDescent="0.25">
      <c r="C21" s="1"/>
      <c r="D21" s="4"/>
      <c r="E21" s="1"/>
      <c r="F21" s="1"/>
      <c r="G21" s="1"/>
      <c r="H21" s="1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4"/>
    </row>
    <row r="22" ht="13.8" customHeight="1" spans="3:22" x14ac:dyDescent="0.25">
      <c r="C22" s="1"/>
      <c r="D22" s="4"/>
      <c r="E22" s="1"/>
      <c r="F22" s="1"/>
      <c r="G22" s="1"/>
      <c r="H22" s="1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4"/>
    </row>
    <row r="23" ht="13.8" customHeight="1" spans="3:22" x14ac:dyDescent="0.25">
      <c r="C23" s="1"/>
      <c r="D23" s="4"/>
      <c r="E23" s="1"/>
      <c r="F23" s="1"/>
      <c r="G23" s="1"/>
      <c r="H23" s="1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4"/>
    </row>
    <row r="24" ht="18" customHeight="1" spans="2:23" x14ac:dyDescent="0.25"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3"/>
    </row>
    <row r="25" ht="18" customHeight="1" spans="2:23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6"/>
    </row>
    <row r="26" ht="13.8" customHeight="1" spans="3:22" x14ac:dyDescent="0.25">
      <c r="C26" s="1"/>
      <c r="D26" s="4"/>
      <c r="E26" s="1"/>
      <c r="F26" s="1"/>
      <c r="G26" s="1"/>
      <c r="H26" s="1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4"/>
    </row>
    <row r="27" ht="14.25" customHeight="1" spans="2:22" x14ac:dyDescent="0.25">
      <c r="B27" s="47" t="s">
        <v>12</v>
      </c>
      <c r="C27" s="48" t="s">
        <v>13</v>
      </c>
      <c r="D27" s="49"/>
      <c r="E27" s="49"/>
      <c r="F27" s="49"/>
      <c r="G27" s="50"/>
      <c r="H27" s="51" t="s">
        <v>14</v>
      </c>
      <c r="I27" s="52"/>
      <c r="J27" s="51" t="s">
        <v>15</v>
      </c>
      <c r="K27" s="53"/>
      <c r="L27" s="52"/>
      <c r="M27" s="48" t="s">
        <v>16</v>
      </c>
      <c r="N27" s="49"/>
      <c r="O27" s="50"/>
      <c r="P27" s="51" t="s">
        <v>17</v>
      </c>
      <c r="Q27" s="52"/>
      <c r="R27" s="51" t="s">
        <v>18</v>
      </c>
      <c r="S27" s="52"/>
      <c r="T27" s="51" t="s">
        <v>19</v>
      </c>
      <c r="U27" s="52"/>
      <c r="V27" s="54" t="s">
        <v>20</v>
      </c>
    </row>
    <row r="28" ht="14.25" customHeight="1" spans="2:22" x14ac:dyDescent="0.25">
      <c r="B28" s="55"/>
      <c r="C28" s="56"/>
      <c r="D28" s="57"/>
      <c r="E28" s="57"/>
      <c r="F28" s="57"/>
      <c r="G28" s="58"/>
      <c r="H28" s="59"/>
      <c r="I28" s="60"/>
      <c r="J28" s="61"/>
      <c r="K28" s="62"/>
      <c r="L28" s="63"/>
      <c r="M28" s="64"/>
      <c r="N28" s="65"/>
      <c r="O28" s="66"/>
      <c r="P28" s="61"/>
      <c r="Q28" s="63"/>
      <c r="R28" s="61"/>
      <c r="S28" s="63"/>
      <c r="T28" s="61"/>
      <c r="U28" s="63"/>
      <c r="V28" s="67"/>
    </row>
    <row r="29" ht="20.25" customHeight="1" spans="2:22" x14ac:dyDescent="0.25">
      <c r="B29" s="68"/>
      <c r="C29" s="64"/>
      <c r="D29" s="65"/>
      <c r="E29" s="65"/>
      <c r="F29" s="65"/>
      <c r="G29" s="66"/>
      <c r="H29" s="61"/>
      <c r="I29" s="63"/>
      <c r="J29" s="69" t="s">
        <v>21</v>
      </c>
      <c r="K29" s="69" t="s">
        <v>22</v>
      </c>
      <c r="L29" s="69" t="s">
        <v>23</v>
      </c>
      <c r="M29" s="69" t="s">
        <v>24</v>
      </c>
      <c r="N29" s="69" t="s">
        <v>25</v>
      </c>
      <c r="O29" s="69" t="s">
        <v>26</v>
      </c>
      <c r="P29" s="69" t="s">
        <v>16</v>
      </c>
      <c r="Q29" s="69" t="s">
        <v>27</v>
      </c>
      <c r="R29" s="69" t="s">
        <v>16</v>
      </c>
      <c r="S29" s="69" t="s">
        <v>27</v>
      </c>
      <c r="T29" s="70" t="s">
        <v>28</v>
      </c>
      <c r="U29" s="71"/>
      <c r="V29" s="72"/>
    </row>
    <row r="30" ht="21" customHeight="1" spans="2:22" x14ac:dyDescent="0.25">
      <c r="B30" s="73">
        <v>1</v>
      </c>
      <c r="C30" s="74">
        <f>IF([1]DADOS!D11="","",[1]DADOS!D11)</f>
      </c>
      <c r="D30" s="75"/>
      <c r="E30" s="76"/>
      <c r="F30" s="76"/>
      <c r="G30" s="77"/>
      <c r="H30" s="74"/>
      <c r="I30" s="78">
        <f>IF([1]DADOS!G11="","",[1]DADOS!G11)</f>
      </c>
      <c r="J30" s="73">
        <f>IF([1]DADOS!I11="MONOFÁSICO","X","")</f>
      </c>
      <c r="K30" s="73">
        <f>IF([1]DADOS!I11="BIFÁSICO","X","")</f>
      </c>
      <c r="L30" s="73">
        <f>IF([1]DADOS!I11="TRIFÁSICO","X","")</f>
      </c>
      <c r="M30" s="73">
        <f>IF([1]DADOS!H11="5M","X","")</f>
      </c>
      <c r="N30" s="73">
        <f>IF([1]DADOS!H11="7M","X","")</f>
      </c>
      <c r="O30" s="73">
        <f>IF([1]DADOS!H11="PP","X","")</f>
      </c>
      <c r="P30" s="73"/>
      <c r="Q30" s="73"/>
      <c r="R30" s="73"/>
      <c r="S30" s="79"/>
      <c r="T30" s="80"/>
      <c r="U30" s="78">
        <f>IF([1]DADOS!F11="","",[1]DADOS!F11)</f>
      </c>
      <c r="V30" s="81">
        <f>IF(C30="","",[1]DADOS!$D$8)</f>
      </c>
    </row>
    <row r="31" ht="21" customHeight="1" spans="2:22" x14ac:dyDescent="0.25">
      <c r="B31" s="73">
        <v>2</v>
      </c>
      <c r="C31" s="74">
        <f>IF([1]DADOS!D12="","",[1]DADOS!D12)</f>
      </c>
      <c r="D31" s="75"/>
      <c r="E31" s="76"/>
      <c r="F31" s="76"/>
      <c r="G31" s="77"/>
      <c r="H31" s="74"/>
      <c r="I31" s="78">
        <f>IF([1]DADOS!G12="","",[1]DADOS!G12)</f>
      </c>
      <c r="J31" s="73">
        <f>IF([1]DADOS!I12="MONOFÁSICO","X","")</f>
      </c>
      <c r="K31" s="73">
        <f>IF([1]DADOS!I12="BIFÁSICO","X","")</f>
      </c>
      <c r="L31" s="73">
        <f>IF([1]DADOS!I12="TRIFÁSICO","X","")</f>
      </c>
      <c r="M31" s="73">
        <f>IF([1]DADOS!H12="5M","X","")</f>
      </c>
      <c r="N31" s="73">
        <f>IF([1]DADOS!H12="7M","X","")</f>
      </c>
      <c r="O31" s="73">
        <f>IF([1]DADOS!H12="PP","X","")</f>
      </c>
      <c r="P31" s="73"/>
      <c r="Q31" s="73"/>
      <c r="R31" s="73"/>
      <c r="S31" s="79"/>
      <c r="T31" s="80"/>
      <c r="U31" s="78">
        <f>IF([1]DADOS!F12="","",[1]DADOS!F12)</f>
      </c>
      <c r="V31" s="81">
        <f>IF(C31="","",[1]DADOS!$D$8)</f>
      </c>
    </row>
    <row r="32" ht="21" customHeight="1" spans="2:22" x14ac:dyDescent="0.25">
      <c r="B32" s="73">
        <v>3</v>
      </c>
      <c r="C32" s="74">
        <f>IF([1]DADOS!D13="","",[1]DADOS!D13)</f>
      </c>
      <c r="D32" s="75"/>
      <c r="E32" s="76"/>
      <c r="F32" s="76"/>
      <c r="G32" s="77"/>
      <c r="H32" s="74"/>
      <c r="I32" s="78">
        <f>IF([1]DADOS!G13="","",[1]DADOS!G13)</f>
      </c>
      <c r="J32" s="73">
        <f>IF([1]DADOS!I13="MONOFÁSICO","X","")</f>
      </c>
      <c r="K32" s="73">
        <f>IF([1]DADOS!I13="BIFÁSICO","X","")</f>
      </c>
      <c r="L32" s="73">
        <f>IF([1]DADOS!I13="TRIFÁSICO","X","")</f>
      </c>
      <c r="M32" s="73">
        <f>IF([1]DADOS!H13="5M","X","")</f>
      </c>
      <c r="N32" s="73">
        <f>IF([1]DADOS!H13="7M","X","")</f>
      </c>
      <c r="O32" s="73">
        <f>IF([1]DADOS!H13="PP","X","")</f>
      </c>
      <c r="P32" s="73"/>
      <c r="Q32" s="73"/>
      <c r="R32" s="73"/>
      <c r="S32" s="79"/>
      <c r="T32" s="80"/>
      <c r="U32" s="78">
        <f>IF([1]DADOS!F13="","",[1]DADOS!F13)</f>
      </c>
      <c r="V32" s="81">
        <f>IF(C32="","",[1]DADOS!$D$8)</f>
      </c>
    </row>
    <row r="33" ht="21" customHeight="1" spans="2:22" x14ac:dyDescent="0.25">
      <c r="B33" s="73">
        <v>4</v>
      </c>
      <c r="C33" s="74">
        <f>IF([1]DADOS!D14="","",[1]DADOS!D14)</f>
      </c>
      <c r="D33" s="75"/>
      <c r="E33" s="76"/>
      <c r="F33" s="76"/>
      <c r="G33" s="77"/>
      <c r="H33" s="74"/>
      <c r="I33" s="78">
        <f>IF([1]DADOS!G14="","",[1]DADOS!G14)</f>
      </c>
      <c r="J33" s="73">
        <f>IF([1]DADOS!I14="MONOFÁSICO","X","")</f>
      </c>
      <c r="K33" s="73">
        <f>IF([1]DADOS!I14="BIFÁSICO","X","")</f>
      </c>
      <c r="L33" s="73">
        <f>IF([1]DADOS!I14="TRIFÁSICO","X","")</f>
      </c>
      <c r="M33" s="73">
        <f>IF([1]DADOS!H14="5M","X","")</f>
      </c>
      <c r="N33" s="73">
        <f>IF([1]DADOS!H14="7M","X","")</f>
      </c>
      <c r="O33" s="73">
        <f>IF([1]DADOS!H14="PP","X","")</f>
      </c>
      <c r="P33" s="73"/>
      <c r="Q33" s="73"/>
      <c r="R33" s="73"/>
      <c r="S33" s="79"/>
      <c r="T33" s="80"/>
      <c r="U33" s="78">
        <f>IF([1]DADOS!F14="","",[1]DADOS!F14)</f>
      </c>
      <c r="V33" s="81">
        <f>IF(C33="","",[1]DADOS!$D$8)</f>
      </c>
    </row>
    <row r="34" ht="21" customHeight="1" spans="2:22" x14ac:dyDescent="0.25">
      <c r="B34" s="73">
        <v>5</v>
      </c>
      <c r="C34" s="74">
        <f>IF([1]DADOS!D15="","",[1]DADOS!D15)</f>
      </c>
      <c r="D34" s="75"/>
      <c r="E34" s="76"/>
      <c r="F34" s="76"/>
      <c r="G34" s="77"/>
      <c r="H34" s="74"/>
      <c r="I34" s="78">
        <f>IF([1]DADOS!G15="","",[1]DADOS!G15)</f>
      </c>
      <c r="J34" s="73">
        <f>IF([1]DADOS!I15="MONOFÁSICO","X","")</f>
      </c>
      <c r="K34" s="73">
        <f>IF([1]DADOS!I15="BIFÁSICO","X","")</f>
      </c>
      <c r="L34" s="73">
        <f>IF([1]DADOS!I15="TRIFÁSICO","X","")</f>
      </c>
      <c r="M34" s="73">
        <f>IF([1]DADOS!H15="5M","X","")</f>
      </c>
      <c r="N34" s="73">
        <f>IF([1]DADOS!H15="7M","X","")</f>
      </c>
      <c r="O34" s="73">
        <f>IF([1]DADOS!H15="PP","X","")</f>
      </c>
      <c r="P34" s="73"/>
      <c r="Q34" s="73"/>
      <c r="R34" s="73"/>
      <c r="S34" s="79"/>
      <c r="T34" s="80"/>
      <c r="U34" s="78">
        <f>IF([1]DADOS!F15="","",[1]DADOS!F15)</f>
      </c>
      <c r="V34" s="81">
        <f>IF(C34="","",[1]DADOS!$D$8)</f>
      </c>
    </row>
    <row r="35" ht="21" customHeight="1" spans="2:22" x14ac:dyDescent="0.25">
      <c r="B35" s="73">
        <v>6</v>
      </c>
      <c r="C35" s="74">
        <f>IF([1]DADOS!D16="","",[1]DADOS!D16)</f>
      </c>
      <c r="D35" s="75"/>
      <c r="E35" s="76"/>
      <c r="F35" s="76"/>
      <c r="G35" s="77"/>
      <c r="H35" s="74"/>
      <c r="I35" s="78">
        <f>IF([1]DADOS!G16="","",[1]DADOS!G16)</f>
      </c>
      <c r="J35" s="73">
        <f>IF([1]DADOS!I16="MONOFÁSICO","X","")</f>
      </c>
      <c r="K35" s="73">
        <f>IF([1]DADOS!I16="BIFÁSICO","X","")</f>
      </c>
      <c r="L35" s="73">
        <f>IF([1]DADOS!I16="TRIFÁSICO","X","")</f>
      </c>
      <c r="M35" s="73">
        <f>IF([1]DADOS!H16="5M","X","")</f>
      </c>
      <c r="N35" s="73">
        <f>IF([1]DADOS!H16="7M","X","")</f>
      </c>
      <c r="O35" s="73">
        <f>IF([1]DADOS!H16="PP","X","")</f>
      </c>
      <c r="P35" s="73"/>
      <c r="Q35" s="73"/>
      <c r="R35" s="73"/>
      <c r="S35" s="79"/>
      <c r="T35" s="80"/>
      <c r="U35" s="78">
        <f>IF([1]DADOS!F16="","",[1]DADOS!F16)</f>
      </c>
      <c r="V35" s="81">
        <f>IF(C35="","",[1]DADOS!$D$8)</f>
      </c>
    </row>
    <row r="36" ht="21" customHeight="1" spans="2:22" x14ac:dyDescent="0.25">
      <c r="B36" s="73">
        <v>7</v>
      </c>
      <c r="C36" s="74">
        <f>IF([1]DADOS!D17="","",[1]DADOS!D17)</f>
      </c>
      <c r="D36" s="75"/>
      <c r="E36" s="76"/>
      <c r="F36" s="76"/>
      <c r="G36" s="77"/>
      <c r="H36" s="74"/>
      <c r="I36" s="78">
        <f>IF([1]DADOS!G17="","",[1]DADOS!G17)</f>
      </c>
      <c r="J36" s="73">
        <f>IF([1]DADOS!I17="MONOFÁSICO","X","")</f>
      </c>
      <c r="K36" s="73">
        <f>IF([1]DADOS!I17="BIFÁSICO","X","")</f>
      </c>
      <c r="L36" s="73">
        <f>IF([1]DADOS!I17="TRIFÁSICO","X","")</f>
      </c>
      <c r="M36" s="73">
        <f>IF([1]DADOS!H17="5M","X","")</f>
      </c>
      <c r="N36" s="73">
        <f>IF([1]DADOS!H17="7M","X","")</f>
      </c>
      <c r="O36" s="73">
        <f>IF([1]DADOS!H17="PP","X","")</f>
      </c>
      <c r="P36" s="73"/>
      <c r="Q36" s="73"/>
      <c r="R36" s="73"/>
      <c r="S36" s="79"/>
      <c r="T36" s="80"/>
      <c r="U36" s="78">
        <f>IF([1]DADOS!F17="","",[1]DADOS!F17)</f>
      </c>
      <c r="V36" s="81">
        <f>IF(C36="","",[1]DADOS!$D$8)</f>
      </c>
    </row>
    <row r="37" ht="21" customHeight="1" spans="2:22" x14ac:dyDescent="0.25">
      <c r="B37" s="73">
        <v>8</v>
      </c>
      <c r="C37" s="74">
        <f>IF([1]DADOS!D18="","",[1]DADOS!D18)</f>
      </c>
      <c r="D37" s="75"/>
      <c r="E37" s="76"/>
      <c r="F37" s="76"/>
      <c r="G37" s="77"/>
      <c r="H37" s="74"/>
      <c r="I37" s="78">
        <f>IF([1]DADOS!G18="","",[1]DADOS!G18)</f>
      </c>
      <c r="J37" s="73">
        <f>IF([1]DADOS!I18="MONOFÁSICO","X","")</f>
      </c>
      <c r="K37" s="73">
        <f>IF([1]DADOS!I18="BIFÁSICO","X","")</f>
      </c>
      <c r="L37" s="73">
        <f>IF([1]DADOS!I18="TRIFÁSICO","X","")</f>
      </c>
      <c r="M37" s="73">
        <f>IF([1]DADOS!H18="5M","X","")</f>
      </c>
      <c r="N37" s="73">
        <f>IF([1]DADOS!H18="7M","X","")</f>
      </c>
      <c r="O37" s="73">
        <f>IF([1]DADOS!H18="PP","X","")</f>
      </c>
      <c r="P37" s="73"/>
      <c r="Q37" s="73"/>
      <c r="R37" s="73"/>
      <c r="S37" s="79"/>
      <c r="T37" s="80"/>
      <c r="U37" s="78">
        <f>IF([1]DADOS!F18="","",[1]DADOS!F18)</f>
      </c>
      <c r="V37" s="81">
        <f>IF(C37="","",[1]DADOS!$D$8)</f>
      </c>
    </row>
    <row r="38" ht="21" customHeight="1" spans="2:22" x14ac:dyDescent="0.25">
      <c r="B38" s="73">
        <v>9</v>
      </c>
      <c r="C38" s="74">
        <f>IF([1]DADOS!D19="","",[1]DADOS!D19)</f>
      </c>
      <c r="D38" s="75"/>
      <c r="E38" s="76"/>
      <c r="F38" s="76"/>
      <c r="G38" s="77"/>
      <c r="H38" s="74"/>
      <c r="I38" s="78">
        <f>IF([1]DADOS!G19="","",[1]DADOS!G19)</f>
      </c>
      <c r="J38" s="73">
        <f>IF([1]DADOS!I19="MONOFÁSICO","X","")</f>
      </c>
      <c r="K38" s="73">
        <f>IF([1]DADOS!I19="BIFÁSICO","X","")</f>
      </c>
      <c r="L38" s="73">
        <f>IF([1]DADOS!I19="TRIFÁSICO","X","")</f>
      </c>
      <c r="M38" s="73">
        <f>IF([1]DADOS!H19="5M","X","")</f>
      </c>
      <c r="N38" s="73">
        <f>IF([1]DADOS!H19="7M","X","")</f>
      </c>
      <c r="O38" s="73">
        <f>IF([1]DADOS!H19="PP","X","")</f>
      </c>
      <c r="P38" s="73"/>
      <c r="Q38" s="73"/>
      <c r="R38" s="73"/>
      <c r="S38" s="79"/>
      <c r="T38" s="80"/>
      <c r="U38" s="78">
        <f>IF([1]DADOS!F19="","",[1]DADOS!F19)</f>
      </c>
      <c r="V38" s="81">
        <f>IF(C38="","",[1]DADOS!$D$8)</f>
      </c>
    </row>
    <row r="39" ht="21" customHeight="1" spans="2:22" x14ac:dyDescent="0.25">
      <c r="B39" s="73">
        <v>10</v>
      </c>
      <c r="C39" s="74">
        <f>IF([1]DADOS!D20="","",[1]DADOS!D20)</f>
      </c>
      <c r="D39" s="75"/>
      <c r="E39" s="76"/>
      <c r="F39" s="76"/>
      <c r="G39" s="77"/>
      <c r="H39" s="74"/>
      <c r="I39" s="78">
        <f>IF([1]DADOS!G20="","",[1]DADOS!G20)</f>
      </c>
      <c r="J39" s="73">
        <f>IF([1]DADOS!I20="MONOFÁSICO","X","")</f>
      </c>
      <c r="K39" s="73">
        <f>IF([1]DADOS!I20="BIFÁSICO","X","")</f>
      </c>
      <c r="L39" s="73">
        <f>IF([1]DADOS!I20="TRIFÁSICO","X","")</f>
      </c>
      <c r="M39" s="73">
        <f>IF([1]DADOS!H20="5M","X","")</f>
      </c>
      <c r="N39" s="73">
        <f>IF([1]DADOS!H20="7M","X","")</f>
      </c>
      <c r="O39" s="73">
        <f>IF([1]DADOS!H20="PP","X","")</f>
      </c>
      <c r="P39" s="73"/>
      <c r="Q39" s="73"/>
      <c r="R39" s="73"/>
      <c r="S39" s="79"/>
      <c r="T39" s="80"/>
      <c r="U39" s="78">
        <f>IF([1]DADOS!F20="","",[1]DADOS!F20)</f>
      </c>
      <c r="V39" s="81">
        <f>IF(C39="","",[1]DADOS!$D$8)</f>
      </c>
    </row>
    <row r="40" ht="21" customHeight="1" spans="2:22" x14ac:dyDescent="0.25">
      <c r="B40" s="73">
        <v>11</v>
      </c>
      <c r="C40" s="74">
        <f>IF([1]DADOS!D21="","",[1]DADOS!D21)</f>
      </c>
      <c r="D40" s="75"/>
      <c r="E40" s="76"/>
      <c r="F40" s="76"/>
      <c r="G40" s="77"/>
      <c r="H40" s="74"/>
      <c r="I40" s="78">
        <f>IF([1]DADOS!G21="","",[1]DADOS!G21)</f>
      </c>
      <c r="J40" s="73">
        <f>IF([1]DADOS!I21="MONOFÁSICO","X","")</f>
      </c>
      <c r="K40" s="73">
        <f>IF([1]DADOS!I21="BIFÁSICO","X","")</f>
      </c>
      <c r="L40" s="73">
        <f>IF([1]DADOS!I21="TRIFÁSICO","X","")</f>
      </c>
      <c r="M40" s="73">
        <f>IF([1]DADOS!H21="5M","X","")</f>
      </c>
      <c r="N40" s="73">
        <f>IF([1]DADOS!H21="7M","X","")</f>
      </c>
      <c r="O40" s="73">
        <f>IF([1]DADOS!H21="PP","X","")</f>
      </c>
      <c r="P40" s="73"/>
      <c r="Q40" s="73"/>
      <c r="R40" s="73"/>
      <c r="S40" s="79"/>
      <c r="T40" s="80"/>
      <c r="U40" s="78">
        <f>IF([1]DADOS!F21="","",[1]DADOS!F21)</f>
      </c>
      <c r="V40" s="81">
        <f>IF(C40="","",[1]DADOS!$D$8)</f>
      </c>
    </row>
    <row r="41" ht="21" customHeight="1" spans="2:22" x14ac:dyDescent="0.25">
      <c r="B41" s="73">
        <v>12</v>
      </c>
      <c r="C41" s="74">
        <f>IF([1]DADOS!D22="","",[1]DADOS!D22)</f>
      </c>
      <c r="D41" s="75"/>
      <c r="E41" s="76"/>
      <c r="F41" s="76"/>
      <c r="G41" s="77"/>
      <c r="H41" s="74"/>
      <c r="I41" s="78">
        <f>IF([1]DADOS!G22="","",[1]DADOS!G22)</f>
      </c>
      <c r="J41" s="73">
        <f>IF([1]DADOS!I22="MONOFÁSICO","X","")</f>
      </c>
      <c r="K41" s="73">
        <f>IF([1]DADOS!I22="BIFÁSICO","X","")</f>
      </c>
      <c r="L41" s="73">
        <f>IF([1]DADOS!I22="TRIFÁSICO","X","")</f>
      </c>
      <c r="M41" s="73">
        <f>IF([1]DADOS!H22="5M","X","")</f>
      </c>
      <c r="N41" s="73">
        <f>IF([1]DADOS!H22="7M","X","")</f>
      </c>
      <c r="O41" s="73">
        <f>IF([1]DADOS!H22="PP","X","")</f>
      </c>
      <c r="P41" s="73"/>
      <c r="Q41" s="73"/>
      <c r="R41" s="73"/>
      <c r="S41" s="79"/>
      <c r="T41" s="80"/>
      <c r="U41" s="78">
        <f>IF([1]DADOS!F22="","",[1]DADOS!F22)</f>
      </c>
      <c r="V41" s="81">
        <f>IF(C41="","",[1]DADOS!$D$8)</f>
      </c>
    </row>
    <row r="42" ht="21" customHeight="1" spans="2:22" x14ac:dyDescent="0.25">
      <c r="B42" s="73">
        <v>13</v>
      </c>
      <c r="C42" s="74">
        <f>IF([1]DADOS!D23="","",[1]DADOS!D23)</f>
      </c>
      <c r="D42" s="75"/>
      <c r="E42" s="76"/>
      <c r="F42" s="76"/>
      <c r="G42" s="77"/>
      <c r="H42" s="74"/>
      <c r="I42" s="78">
        <f>IF([1]DADOS!G23="","",[1]DADOS!G23)</f>
      </c>
      <c r="J42" s="73">
        <f>IF([1]DADOS!I23="MONOFÁSICO","X","")</f>
      </c>
      <c r="K42" s="73">
        <f>IF([1]DADOS!I23="BIFÁSICO","X","")</f>
      </c>
      <c r="L42" s="73">
        <f>IF([1]DADOS!I23="TRIFÁSICO","X","")</f>
      </c>
      <c r="M42" s="73">
        <f>IF([1]DADOS!H23="5M","X","")</f>
      </c>
      <c r="N42" s="73">
        <f>IF([1]DADOS!H23="7M","X","")</f>
      </c>
      <c r="O42" s="73">
        <f>IF([1]DADOS!H23="PP","X","")</f>
      </c>
      <c r="P42" s="73"/>
      <c r="Q42" s="73"/>
      <c r="R42" s="73"/>
      <c r="S42" s="79"/>
      <c r="T42" s="80"/>
      <c r="U42" s="78">
        <f>IF([1]DADOS!F23="","",[1]DADOS!F23)</f>
      </c>
      <c r="V42" s="81">
        <f>IF(C42="","",[1]DADOS!$D$8)</f>
      </c>
    </row>
    <row r="43" ht="21" customHeight="1" spans="2:22" x14ac:dyDescent="0.25">
      <c r="B43" s="73">
        <v>14</v>
      </c>
      <c r="C43" s="74">
        <f>IF([1]DADOS!D24="","",[1]DADOS!D24)</f>
      </c>
      <c r="D43" s="75"/>
      <c r="E43" s="76"/>
      <c r="F43" s="76"/>
      <c r="G43" s="77"/>
      <c r="H43" s="74"/>
      <c r="I43" s="78">
        <f>IF([1]DADOS!G24="","",[1]DADOS!G24)</f>
      </c>
      <c r="J43" s="73">
        <f>IF([1]DADOS!I24="MONOFÁSICO","X","")</f>
      </c>
      <c r="K43" s="73">
        <f>IF([1]DADOS!I24="BIFÁSICO","X","")</f>
      </c>
      <c r="L43" s="73">
        <f>IF([1]DADOS!I24="TRIFÁSICO","X","")</f>
      </c>
      <c r="M43" s="73">
        <f>IF([1]DADOS!H24="5M","X","")</f>
      </c>
      <c r="N43" s="73">
        <f>IF([1]DADOS!H24="7M","X","")</f>
      </c>
      <c r="O43" s="73">
        <f>IF([1]DADOS!H24="PP","X","")</f>
      </c>
      <c r="P43" s="73"/>
      <c r="Q43" s="73"/>
      <c r="R43" s="73"/>
      <c r="S43" s="79"/>
      <c r="T43" s="80"/>
      <c r="U43" s="78">
        <f>IF([1]DADOS!F24="","",[1]DADOS!F24)</f>
      </c>
      <c r="V43" s="81">
        <f>IF(C43="","",[1]DADOS!$D$8)</f>
      </c>
    </row>
    <row r="44" ht="21" customHeight="1" spans="2:22" x14ac:dyDescent="0.25">
      <c r="B44" s="73">
        <v>15</v>
      </c>
      <c r="C44" s="74">
        <f>IF([1]DADOS!D25="","",[1]DADOS!D25)</f>
      </c>
      <c r="D44" s="75"/>
      <c r="E44" s="76"/>
      <c r="F44" s="76"/>
      <c r="G44" s="77"/>
      <c r="H44" s="74"/>
      <c r="I44" s="78">
        <f>IF([1]DADOS!G25="","",[1]DADOS!G25)</f>
      </c>
      <c r="J44" s="73">
        <f>IF([1]DADOS!I25="MONOFÁSICO","X","")</f>
      </c>
      <c r="K44" s="73">
        <f>IF([1]DADOS!I25="BIFÁSICO","X","")</f>
      </c>
      <c r="L44" s="73">
        <f>IF([1]DADOS!I25="TRIFÁSICO","X","")</f>
      </c>
      <c r="M44" s="73">
        <f>IF([1]DADOS!H25="5M","X","")</f>
      </c>
      <c r="N44" s="73">
        <f>IF([1]DADOS!H25="7M","X","")</f>
      </c>
      <c r="O44" s="73">
        <f>IF([1]DADOS!H25="PP","X","")</f>
      </c>
      <c r="P44" s="73"/>
      <c r="Q44" s="73"/>
      <c r="R44" s="73"/>
      <c r="S44" s="79"/>
      <c r="T44" s="80"/>
      <c r="U44" s="78">
        <f>IF([1]DADOS!F25="","",[1]DADOS!F25)</f>
      </c>
      <c r="V44" s="81">
        <f>IF(C44="","",[1]DADOS!$D$8)</f>
      </c>
    </row>
    <row r="45" ht="21" customHeight="1" spans="2:22" x14ac:dyDescent="0.25">
      <c r="B45" s="73">
        <v>16</v>
      </c>
      <c r="C45" s="74">
        <f>IF([1]DADOS!D26="","",[1]DADOS!D26)</f>
      </c>
      <c r="D45" s="75"/>
      <c r="E45" s="76"/>
      <c r="F45" s="76"/>
      <c r="G45" s="77"/>
      <c r="H45" s="74"/>
      <c r="I45" s="78">
        <f>IF([1]DADOS!G26="","",[1]DADOS!G26)</f>
      </c>
      <c r="J45" s="73">
        <f>IF([1]DADOS!I26="MONOFÁSICO","X","")</f>
      </c>
      <c r="K45" s="73">
        <f>IF([1]DADOS!I26="BIFÁSICO","X","")</f>
      </c>
      <c r="L45" s="73">
        <f>IF([1]DADOS!I26="TRIFÁSICO","X","")</f>
      </c>
      <c r="M45" s="73">
        <f>IF([1]DADOS!H26="5M","X","")</f>
      </c>
      <c r="N45" s="73">
        <f>IF([1]DADOS!H26="7M","X","")</f>
      </c>
      <c r="O45" s="73">
        <f>IF([1]DADOS!H26="PP","X","")</f>
      </c>
      <c r="P45" s="73"/>
      <c r="Q45" s="73"/>
      <c r="R45" s="73"/>
      <c r="S45" s="79"/>
      <c r="T45" s="80"/>
      <c r="U45" s="78">
        <f>IF([1]DADOS!F26="","",[1]DADOS!F26)</f>
      </c>
      <c r="V45" s="81">
        <f>IF(C45="","",[1]DADOS!$D$8)</f>
      </c>
    </row>
    <row r="46" ht="21" customHeight="1" spans="2:22" x14ac:dyDescent="0.25">
      <c r="B46" s="73">
        <v>17</v>
      </c>
      <c r="C46" s="74">
        <f>IF([1]DADOS!D27="","",[1]DADOS!D27)</f>
      </c>
      <c r="D46" s="75"/>
      <c r="E46" s="76"/>
      <c r="F46" s="76"/>
      <c r="G46" s="77"/>
      <c r="H46" s="74"/>
      <c r="I46" s="78">
        <f>IF([1]DADOS!G27="","",[1]DADOS!G27)</f>
      </c>
      <c r="J46" s="73">
        <f>IF([1]DADOS!I27="MONOFÁSICO","X","")</f>
      </c>
      <c r="K46" s="73">
        <f>IF([1]DADOS!I27="BIFÁSICO","X","")</f>
      </c>
      <c r="L46" s="73">
        <f>IF([1]DADOS!I27="TRIFÁSICO","X","")</f>
      </c>
      <c r="M46" s="73">
        <f>IF([1]DADOS!H27="5M","X","")</f>
      </c>
      <c r="N46" s="73">
        <f>IF([1]DADOS!H27="7M","X","")</f>
      </c>
      <c r="O46" s="73">
        <f>IF([1]DADOS!H27="PP","X","")</f>
      </c>
      <c r="P46" s="73"/>
      <c r="Q46" s="73"/>
      <c r="R46" s="73"/>
      <c r="S46" s="79"/>
      <c r="T46" s="80"/>
      <c r="U46" s="78">
        <f>IF([1]DADOS!F27="","",[1]DADOS!F27)</f>
      </c>
      <c r="V46" s="81">
        <f>IF(C46="","",[1]DADOS!$D$8)</f>
      </c>
    </row>
    <row r="47" ht="21" customHeight="1" spans="2:22" x14ac:dyDescent="0.25">
      <c r="B47" s="73">
        <v>18</v>
      </c>
      <c r="C47" s="74">
        <f>IF([1]DADOS!D28="","",[1]DADOS!D28)</f>
      </c>
      <c r="D47" s="75"/>
      <c r="E47" s="76"/>
      <c r="F47" s="76"/>
      <c r="G47" s="77"/>
      <c r="H47" s="74"/>
      <c r="I47" s="78">
        <f>IF([1]DADOS!G28="","",[1]DADOS!G28)</f>
      </c>
      <c r="J47" s="73">
        <f>IF([1]DADOS!I28="MONOFÁSICO","X","")</f>
      </c>
      <c r="K47" s="73">
        <f>IF([1]DADOS!I28="BIFÁSICO","X","")</f>
      </c>
      <c r="L47" s="73">
        <f>IF([1]DADOS!I28="TRIFÁSICO","X","")</f>
      </c>
      <c r="M47" s="73">
        <f>IF([1]DADOS!H28="5M","X","")</f>
      </c>
      <c r="N47" s="73">
        <f>IF([1]DADOS!H28="7M","X","")</f>
      </c>
      <c r="O47" s="73">
        <f>IF([1]DADOS!H28="PP","X","")</f>
      </c>
      <c r="P47" s="73"/>
      <c r="Q47" s="73"/>
      <c r="R47" s="73"/>
      <c r="S47" s="79"/>
      <c r="T47" s="80"/>
      <c r="U47" s="78">
        <f>IF([1]DADOS!F28="","",[1]DADOS!F28)</f>
      </c>
      <c r="V47" s="81">
        <f>IF(C47="","",[1]DADOS!$D$8)</f>
      </c>
    </row>
    <row r="48" ht="21" customHeight="1" spans="2:22" x14ac:dyDescent="0.25">
      <c r="B48" s="73">
        <v>19</v>
      </c>
      <c r="C48" s="74">
        <f>IF([1]DADOS!D29="","",[1]DADOS!D29)</f>
      </c>
      <c r="D48" s="75"/>
      <c r="E48" s="76"/>
      <c r="F48" s="76"/>
      <c r="G48" s="77"/>
      <c r="H48" s="74"/>
      <c r="I48" s="78">
        <f>IF([1]DADOS!G29="","",[1]DADOS!G29)</f>
      </c>
      <c r="J48" s="73">
        <f>IF([1]DADOS!I29="MONOFÁSICO","X","")</f>
      </c>
      <c r="K48" s="73">
        <f>IF([1]DADOS!I29="BIFÁSICO","X","")</f>
      </c>
      <c r="L48" s="73">
        <f>IF([1]DADOS!I29="TRIFÁSICO","X","")</f>
      </c>
      <c r="M48" s="73">
        <f>IF([1]DADOS!H29="5M","X","")</f>
      </c>
      <c r="N48" s="73">
        <f>IF([1]DADOS!H29="7M","X","")</f>
      </c>
      <c r="O48" s="73">
        <f>IF([1]DADOS!H29="PP","X","")</f>
      </c>
      <c r="P48" s="73"/>
      <c r="Q48" s="73"/>
      <c r="R48" s="73"/>
      <c r="S48" s="79"/>
      <c r="T48" s="80"/>
      <c r="U48" s="78">
        <f>IF([1]DADOS!F29="","",[1]DADOS!F29)</f>
      </c>
      <c r="V48" s="81">
        <f>IF(C48="","",[1]DADOS!$D$8)</f>
      </c>
    </row>
    <row r="49" ht="21" customHeight="1" spans="2:22" x14ac:dyDescent="0.25">
      <c r="B49" s="73">
        <v>20</v>
      </c>
      <c r="C49" s="74">
        <f>IF([1]DADOS!D30="","",[1]DADOS!D30)</f>
      </c>
      <c r="D49" s="75"/>
      <c r="E49" s="76"/>
      <c r="F49" s="76"/>
      <c r="G49" s="77"/>
      <c r="H49" s="74"/>
      <c r="I49" s="78">
        <f>IF([1]DADOS!G30="","",[1]DADOS!G30)</f>
      </c>
      <c r="J49" s="73">
        <f>IF([1]DADOS!I30="MONOFÁSICO","X","")</f>
      </c>
      <c r="K49" s="73">
        <f>IF([1]DADOS!I30="BIFÁSICO","X","")</f>
      </c>
      <c r="L49" s="73">
        <f>IF([1]DADOS!I30="TRIFÁSICO","X","")</f>
      </c>
      <c r="M49" s="73">
        <f>IF([1]DADOS!H30="5M","X","")</f>
      </c>
      <c r="N49" s="73">
        <f>IF([1]DADOS!H30="7M","X","")</f>
      </c>
      <c r="O49" s="73">
        <f>IF([1]DADOS!H30="PP","X","")</f>
      </c>
      <c r="P49" s="73"/>
      <c r="Q49" s="73"/>
      <c r="R49" s="73"/>
      <c r="S49" s="79"/>
      <c r="T49" s="80"/>
      <c r="U49" s="78">
        <f>IF([1]DADOS!F30="","",[1]DADOS!F30)</f>
      </c>
      <c r="V49" s="81">
        <f>IF(C49="","",[1]DADOS!$D$8)</f>
      </c>
    </row>
    <row r="50" ht="21" customHeight="1" spans="2:22" x14ac:dyDescent="0.25">
      <c r="B50" s="73">
        <v>21</v>
      </c>
      <c r="C50" s="74">
        <f>IF([1]DADOS!D31="","",[1]DADOS!D31)</f>
      </c>
      <c r="D50" s="75"/>
      <c r="E50" s="76"/>
      <c r="F50" s="76"/>
      <c r="G50" s="77"/>
      <c r="H50" s="74"/>
      <c r="I50" s="78">
        <f>IF([1]DADOS!G31="","",[1]DADOS!G31)</f>
      </c>
      <c r="J50" s="73">
        <f>IF([1]DADOS!I31="MONOFÁSICO","X","")</f>
      </c>
      <c r="K50" s="73">
        <f>IF([1]DADOS!I31="BIFÁSICO","X","")</f>
      </c>
      <c r="L50" s="73">
        <f>IF([1]DADOS!I31="TRIFÁSICO","X","")</f>
      </c>
      <c r="M50" s="73">
        <f>IF([1]DADOS!H31="5M","X","")</f>
      </c>
      <c r="N50" s="73">
        <f>IF([1]DADOS!H31="7M","X","")</f>
      </c>
      <c r="O50" s="73">
        <f>IF([1]DADOS!H31="PP","X","")</f>
      </c>
      <c r="P50" s="73"/>
      <c r="Q50" s="73"/>
      <c r="R50" s="73"/>
      <c r="S50" s="79"/>
      <c r="T50" s="80"/>
      <c r="U50" s="78">
        <f>IF([1]DADOS!F31="","",[1]DADOS!F31)</f>
      </c>
      <c r="V50" s="81">
        <f>IF(C50="","",[1]DADOS!$D$8)</f>
      </c>
    </row>
    <row r="51" ht="21" customHeight="1" spans="2:22" x14ac:dyDescent="0.25">
      <c r="B51" s="73">
        <v>22</v>
      </c>
      <c r="C51" s="74">
        <f>IF([1]DADOS!D32="","",[1]DADOS!D32)</f>
      </c>
      <c r="D51" s="75"/>
      <c r="E51" s="76"/>
      <c r="F51" s="76"/>
      <c r="G51" s="77"/>
      <c r="H51" s="74"/>
      <c r="I51" s="78">
        <f>IF([1]DADOS!G32="","",[1]DADOS!G32)</f>
      </c>
      <c r="J51" s="73">
        <f>IF([1]DADOS!I32="MONOFÁSICO","X","")</f>
      </c>
      <c r="K51" s="73">
        <f>IF([1]DADOS!I32="BIFÁSICO","X","")</f>
      </c>
      <c r="L51" s="73">
        <f>IF([1]DADOS!I32="TRIFÁSICO","X","")</f>
      </c>
      <c r="M51" s="73">
        <f>IF([1]DADOS!H32="5M","X","")</f>
      </c>
      <c r="N51" s="73">
        <f>IF([1]DADOS!H32="7M","X","")</f>
      </c>
      <c r="O51" s="73">
        <f>IF([1]DADOS!H32="PP","X","")</f>
      </c>
      <c r="P51" s="73"/>
      <c r="Q51" s="73"/>
      <c r="R51" s="73"/>
      <c r="S51" s="79"/>
      <c r="T51" s="80"/>
      <c r="U51" s="78">
        <f>IF([1]DADOS!F32="","",[1]DADOS!F32)</f>
      </c>
      <c r="V51" s="81">
        <f>IF(C51="","",[1]DADOS!$D$8)</f>
      </c>
    </row>
    <row r="52" ht="21" customHeight="1" spans="2:22" x14ac:dyDescent="0.25">
      <c r="B52" s="73">
        <v>23</v>
      </c>
      <c r="C52" s="74">
        <f>IF([1]DADOS!D33="","",[1]DADOS!D33)</f>
      </c>
      <c r="D52" s="75"/>
      <c r="E52" s="76"/>
      <c r="F52" s="76"/>
      <c r="G52" s="77"/>
      <c r="H52" s="74"/>
      <c r="I52" s="78">
        <f>IF([1]DADOS!G33="","",[1]DADOS!G33)</f>
      </c>
      <c r="J52" s="73">
        <f>IF([1]DADOS!I33="MONOFÁSICO","X","")</f>
      </c>
      <c r="K52" s="73">
        <f>IF([1]DADOS!I33="BIFÁSICO","X","")</f>
      </c>
      <c r="L52" s="73">
        <f>IF([1]DADOS!I33="TRIFÁSICO","X","")</f>
      </c>
      <c r="M52" s="73">
        <f>IF([1]DADOS!H33="5M","X","")</f>
      </c>
      <c r="N52" s="73">
        <f>IF([1]DADOS!H33="7M","X","")</f>
      </c>
      <c r="O52" s="73">
        <f>IF([1]DADOS!H33="PP","X","")</f>
      </c>
      <c r="P52" s="73"/>
      <c r="Q52" s="73"/>
      <c r="R52" s="73"/>
      <c r="S52" s="79"/>
      <c r="T52" s="80"/>
      <c r="U52" s="78">
        <f>IF([1]DADOS!F33="","",[1]DADOS!F33)</f>
      </c>
      <c r="V52" s="81">
        <f>IF(C52="","",[1]DADOS!$D$8)</f>
      </c>
    </row>
    <row r="53" ht="21" customHeight="1" spans="2:22" x14ac:dyDescent="0.25">
      <c r="B53" s="73">
        <v>24</v>
      </c>
      <c r="C53" s="74">
        <f>IF([1]DADOS!D34="","",[1]DADOS!D34)</f>
      </c>
      <c r="D53" s="75"/>
      <c r="E53" s="76"/>
      <c r="F53" s="76"/>
      <c r="G53" s="77"/>
      <c r="H53" s="74"/>
      <c r="I53" s="78">
        <f>IF([1]DADOS!G34="","",[1]DADOS!G34)</f>
      </c>
      <c r="J53" s="73">
        <f>IF([1]DADOS!I34="MONOFÁSICO","X","")</f>
      </c>
      <c r="K53" s="73">
        <f>IF([1]DADOS!I34="BIFÁSICO","X","")</f>
      </c>
      <c r="L53" s="73">
        <f>IF([1]DADOS!I34="TRIFÁSICO","X","")</f>
      </c>
      <c r="M53" s="73">
        <f>IF([1]DADOS!H34="5M","X","")</f>
      </c>
      <c r="N53" s="73">
        <f>IF([1]DADOS!H34="7M","X","")</f>
      </c>
      <c r="O53" s="73">
        <f>IF([1]DADOS!H34="PP","X","")</f>
      </c>
      <c r="P53" s="73"/>
      <c r="Q53" s="73"/>
      <c r="R53" s="73"/>
      <c r="S53" s="79"/>
      <c r="T53" s="80"/>
      <c r="U53" s="78">
        <f>IF([1]DADOS!F34="","",[1]DADOS!F34)</f>
      </c>
      <c r="V53" s="81">
        <f>IF(C53="","",[1]DADOS!$D$8)</f>
      </c>
    </row>
    <row r="54" ht="21" customHeight="1" spans="2:22" x14ac:dyDescent="0.25">
      <c r="B54" s="73">
        <v>25</v>
      </c>
      <c r="C54" s="74">
        <f>IF([1]DADOS!D35="","",[1]DADOS!D35)</f>
      </c>
      <c r="D54" s="75"/>
      <c r="E54" s="76"/>
      <c r="F54" s="76"/>
      <c r="G54" s="77"/>
      <c r="H54" s="74"/>
      <c r="I54" s="78">
        <f>IF([1]DADOS!G35="","",[1]DADOS!G35)</f>
      </c>
      <c r="J54" s="73">
        <f>IF([1]DADOS!I35="MONOFÁSICO","X","")</f>
      </c>
      <c r="K54" s="73">
        <f>IF([1]DADOS!I35="BIFÁSICO","X","")</f>
      </c>
      <c r="L54" s="73">
        <f>IF([1]DADOS!I35="TRIFÁSICO","X","")</f>
      </c>
      <c r="M54" s="73">
        <f>IF([1]DADOS!H35="5M","X","")</f>
      </c>
      <c r="N54" s="73">
        <f>IF([1]DADOS!H35="7M","X","")</f>
      </c>
      <c r="O54" s="73">
        <f>IF([1]DADOS!H35="PP","X","")</f>
      </c>
      <c r="P54" s="73"/>
      <c r="Q54" s="73"/>
      <c r="R54" s="73"/>
      <c r="S54" s="79"/>
      <c r="T54" s="80"/>
      <c r="U54" s="78">
        <f>IF([1]DADOS!F35="","",[1]DADOS!F35)</f>
      </c>
      <c r="V54" s="81">
        <f>IF(C54="","",[1]DADOS!$D$8)</f>
      </c>
    </row>
    <row r="55" ht="21" customHeight="1" spans="2:22" x14ac:dyDescent="0.25">
      <c r="B55" s="73">
        <v>26</v>
      </c>
      <c r="C55" s="74">
        <f>IF([1]DADOS!D36="","",[1]DADOS!D36)</f>
      </c>
      <c r="D55" s="75"/>
      <c r="E55" s="76"/>
      <c r="F55" s="76"/>
      <c r="G55" s="77"/>
      <c r="H55" s="74"/>
      <c r="I55" s="78">
        <f>IF([1]DADOS!G36="","",[1]DADOS!G36)</f>
      </c>
      <c r="J55" s="73">
        <f>IF([1]DADOS!I36="MONOFÁSICO","X","")</f>
      </c>
      <c r="K55" s="73">
        <f>IF([1]DADOS!I36="BIFÁSICO","X","")</f>
      </c>
      <c r="L55" s="73">
        <f>IF([1]DADOS!I36="TRIFÁSICO","X","")</f>
      </c>
      <c r="M55" s="73">
        <f>IF([1]DADOS!H36="5M","X","")</f>
      </c>
      <c r="N55" s="73">
        <f>IF([1]DADOS!H36="7M","X","")</f>
      </c>
      <c r="O55" s="73">
        <f>IF([1]DADOS!H36="PP","X","")</f>
      </c>
      <c r="P55" s="73"/>
      <c r="Q55" s="73"/>
      <c r="R55" s="73"/>
      <c r="S55" s="79"/>
      <c r="T55" s="80"/>
      <c r="U55" s="78">
        <f>IF([1]DADOS!F36="","",[1]DADOS!F36)</f>
      </c>
      <c r="V55" s="81">
        <f>IF(C55="","",[1]DADOS!$D$8)</f>
      </c>
    </row>
    <row r="56" ht="21" customHeight="1" spans="2:22" x14ac:dyDescent="0.25">
      <c r="B56" s="73">
        <v>27</v>
      </c>
      <c r="C56" s="74">
        <f>IF([1]DADOS!D37="","",[1]DADOS!D37)</f>
      </c>
      <c r="D56" s="75"/>
      <c r="E56" s="76"/>
      <c r="F56" s="76"/>
      <c r="G56" s="77"/>
      <c r="H56" s="74"/>
      <c r="I56" s="78">
        <f>IF([1]DADOS!G37="","",[1]DADOS!G37)</f>
      </c>
      <c r="J56" s="73">
        <f>IF([1]DADOS!I37="MONOFÁSICO","X","")</f>
      </c>
      <c r="K56" s="73">
        <f>IF([1]DADOS!I37="BIFÁSICO","X","")</f>
      </c>
      <c r="L56" s="73">
        <f>IF([1]DADOS!I37="TRIFÁSICO","X","")</f>
      </c>
      <c r="M56" s="73">
        <f>IF([1]DADOS!H37="5M","X","")</f>
      </c>
      <c r="N56" s="73">
        <f>IF([1]DADOS!H37="7M","X","")</f>
      </c>
      <c r="O56" s="73">
        <f>IF([1]DADOS!H37="PP","X","")</f>
      </c>
      <c r="P56" s="73"/>
      <c r="Q56" s="73"/>
      <c r="R56" s="73"/>
      <c r="S56" s="79"/>
      <c r="T56" s="80"/>
      <c r="U56" s="78">
        <f>IF([1]DADOS!F37="","",[1]DADOS!F37)</f>
      </c>
      <c r="V56" s="81">
        <f>IF(C56="","",[1]DADOS!$D$8)</f>
      </c>
    </row>
    <row r="57" ht="21" customHeight="1" spans="2:22" x14ac:dyDescent="0.25">
      <c r="B57" s="73">
        <v>28</v>
      </c>
      <c r="C57" s="74">
        <f>IF([1]DADOS!D38="","",[1]DADOS!D38)</f>
      </c>
      <c r="D57" s="75"/>
      <c r="E57" s="76"/>
      <c r="F57" s="76"/>
      <c r="G57" s="77"/>
      <c r="H57" s="74"/>
      <c r="I57" s="78">
        <f>IF([1]DADOS!G38="","",[1]DADOS!G38)</f>
      </c>
      <c r="J57" s="73">
        <f>IF([1]DADOS!I38="MONOFÁSICO","X","")</f>
      </c>
      <c r="K57" s="73">
        <f>IF([1]DADOS!I38="BIFÁSICO","X","")</f>
      </c>
      <c r="L57" s="73">
        <f>IF([1]DADOS!I38="TRIFÁSICO","X","")</f>
      </c>
      <c r="M57" s="73">
        <f>IF([1]DADOS!H38="5M","X","")</f>
      </c>
      <c r="N57" s="73">
        <f>IF([1]DADOS!H38="7M","X","")</f>
      </c>
      <c r="O57" s="73">
        <f>IF([1]DADOS!H38="PP","X","")</f>
      </c>
      <c r="P57" s="73"/>
      <c r="Q57" s="73"/>
      <c r="R57" s="73"/>
      <c r="S57" s="79"/>
      <c r="T57" s="80"/>
      <c r="U57" s="78">
        <f>IF([1]DADOS!F38="","",[1]DADOS!F38)</f>
      </c>
      <c r="V57" s="81">
        <f>IF(C57="","",[1]DADOS!$D$8)</f>
      </c>
    </row>
    <row r="58" ht="21" customHeight="1" spans="2:22" x14ac:dyDescent="0.25">
      <c r="B58" s="73">
        <v>29</v>
      </c>
      <c r="C58" s="74">
        <f>IF([1]DADOS!D39="","",[1]DADOS!D39)</f>
      </c>
      <c r="D58" s="75"/>
      <c r="E58" s="76"/>
      <c r="F58" s="76"/>
      <c r="G58" s="77"/>
      <c r="H58" s="74"/>
      <c r="I58" s="78">
        <f>IF([1]DADOS!G39="","",[1]DADOS!G39)</f>
      </c>
      <c r="J58" s="73">
        <f>IF([1]DADOS!I39="MONOFÁSICO","X","")</f>
      </c>
      <c r="K58" s="73">
        <f>IF([1]DADOS!I39="BIFÁSICO","X","")</f>
      </c>
      <c r="L58" s="73">
        <f>IF([1]DADOS!I39="TRIFÁSICO","X","")</f>
      </c>
      <c r="M58" s="73">
        <f>IF([1]DADOS!H39="5M","X","")</f>
      </c>
      <c r="N58" s="73">
        <f>IF([1]DADOS!H39="7M","X","")</f>
      </c>
      <c r="O58" s="73">
        <f>IF([1]DADOS!H39="PP","X","")</f>
      </c>
      <c r="P58" s="73"/>
      <c r="Q58" s="73"/>
      <c r="R58" s="73"/>
      <c r="S58" s="79"/>
      <c r="T58" s="80"/>
      <c r="U58" s="78">
        <f>IF([1]DADOS!F39="","",[1]DADOS!F39)</f>
      </c>
      <c r="V58" s="81">
        <f>IF(C58="","",[1]DADOS!$D$8)</f>
      </c>
    </row>
    <row r="59" ht="21" customHeight="1" spans="2:22" x14ac:dyDescent="0.25">
      <c r="B59" s="73">
        <v>30</v>
      </c>
      <c r="C59" s="74">
        <f>IF([1]DADOS!D40="","",[1]DADOS!D40)</f>
      </c>
      <c r="D59" s="75"/>
      <c r="E59" s="76"/>
      <c r="F59" s="76"/>
      <c r="G59" s="77"/>
      <c r="H59" s="74"/>
      <c r="I59" s="78">
        <f>IF([1]DADOS!G40="","",[1]DADOS!G40)</f>
      </c>
      <c r="J59" s="73">
        <f>IF([1]DADOS!I40="MONOFÁSICO","X","")</f>
      </c>
      <c r="K59" s="73">
        <f>IF([1]DADOS!I40="BIFÁSICO","X","")</f>
      </c>
      <c r="L59" s="73">
        <f>IF([1]DADOS!I40="TRIFÁSICO","X","")</f>
      </c>
      <c r="M59" s="73">
        <f>IF([1]DADOS!H40="5M","X","")</f>
      </c>
      <c r="N59" s="73">
        <f>IF([1]DADOS!H40="7M","X","")</f>
      </c>
      <c r="O59" s="73">
        <f>IF([1]DADOS!H40="PP","X","")</f>
      </c>
      <c r="P59" s="73"/>
      <c r="Q59" s="73"/>
      <c r="R59" s="73"/>
      <c r="S59" s="79"/>
      <c r="T59" s="80"/>
      <c r="U59" s="78">
        <f>IF([1]DADOS!F40="","",[1]DADOS!F40)</f>
      </c>
      <c r="V59" s="81">
        <f>IF(C59="","",[1]DADOS!$D$8)</f>
      </c>
    </row>
    <row r="60" ht="21" customHeight="1" spans="2:22" x14ac:dyDescent="0.25">
      <c r="B60" s="73">
        <v>31</v>
      </c>
      <c r="C60" s="74">
        <f>IF([1]DADOS!D41="","",[1]DADOS!D41)</f>
      </c>
      <c r="D60" s="75"/>
      <c r="E60" s="76"/>
      <c r="F60" s="76"/>
      <c r="G60" s="77"/>
      <c r="H60" s="74"/>
      <c r="I60" s="78">
        <f>IF([1]DADOS!G41="","",[1]DADOS!G41)</f>
      </c>
      <c r="J60" s="73">
        <f>IF([1]DADOS!I41="MONOFÁSICO","X","")</f>
      </c>
      <c r="K60" s="73">
        <f>IF([1]DADOS!I41="BIFÁSICO","X","")</f>
      </c>
      <c r="L60" s="73">
        <f>IF([1]DADOS!I41="TRIFÁSICO","X","")</f>
      </c>
      <c r="M60" s="73">
        <f>IF([1]DADOS!H41="5M","X","")</f>
      </c>
      <c r="N60" s="73">
        <f>IF([1]DADOS!H41="7M","X","")</f>
      </c>
      <c r="O60" s="73">
        <f>IF([1]DADOS!H41="PP","X","")</f>
      </c>
      <c r="P60" s="73"/>
      <c r="Q60" s="73"/>
      <c r="R60" s="73"/>
      <c r="S60" s="79"/>
      <c r="T60" s="80"/>
      <c r="U60" s="78">
        <f>IF([1]DADOS!F41="","",[1]DADOS!F41)</f>
      </c>
      <c r="V60" s="81">
        <f>IF(C60="","",[1]DADOS!$D$8)</f>
      </c>
    </row>
    <row r="61" ht="21" customHeight="1" spans="2:22" x14ac:dyDescent="0.25">
      <c r="B61" s="73">
        <v>32</v>
      </c>
      <c r="C61" s="74">
        <f>IF([1]DADOS!D42="","",[1]DADOS!D42)</f>
      </c>
      <c r="D61" s="75"/>
      <c r="E61" s="76"/>
      <c r="F61" s="76"/>
      <c r="G61" s="77"/>
      <c r="H61" s="74"/>
      <c r="I61" s="78">
        <f>IF([1]DADOS!G42="","",[1]DADOS!G42)</f>
      </c>
      <c r="J61" s="73">
        <f>IF([1]DADOS!I42="MONOFÁSICO","X","")</f>
      </c>
      <c r="K61" s="73">
        <f>IF([1]DADOS!I42="BIFÁSICO","X","")</f>
      </c>
      <c r="L61" s="73">
        <f>IF([1]DADOS!I42="TRIFÁSICO","X","")</f>
      </c>
      <c r="M61" s="73">
        <f>IF([1]DADOS!H42="5M","X","")</f>
      </c>
      <c r="N61" s="73">
        <f>IF([1]DADOS!H42="7M","X","")</f>
      </c>
      <c r="O61" s="73">
        <f>IF([1]DADOS!H42="PP","X","")</f>
      </c>
      <c r="P61" s="73"/>
      <c r="Q61" s="73"/>
      <c r="R61" s="73"/>
      <c r="S61" s="79"/>
      <c r="T61" s="80"/>
      <c r="U61" s="78">
        <f>IF([1]DADOS!F42="","",[1]DADOS!F42)</f>
      </c>
      <c r="V61" s="81">
        <f>IF(C61="","",[1]DADOS!$D$8)</f>
      </c>
    </row>
    <row r="62" ht="21" customHeight="1" spans="2:22" x14ac:dyDescent="0.25">
      <c r="B62" s="73">
        <v>33</v>
      </c>
      <c r="C62" s="74">
        <f>IF([1]DADOS!D43="","",[1]DADOS!D43)</f>
      </c>
      <c r="D62" s="75"/>
      <c r="E62" s="76"/>
      <c r="F62" s="76"/>
      <c r="G62" s="77"/>
      <c r="H62" s="74"/>
      <c r="I62" s="78">
        <f>IF([1]DADOS!G43="","",[1]DADOS!G43)</f>
      </c>
      <c r="J62" s="73">
        <f>IF([1]DADOS!I43="MONOFÁSICO","X","")</f>
      </c>
      <c r="K62" s="73">
        <f>IF([1]DADOS!I43="BIFÁSICO","X","")</f>
      </c>
      <c r="L62" s="73">
        <f>IF([1]DADOS!I43="TRIFÁSICO","X","")</f>
      </c>
      <c r="M62" s="73">
        <f>IF([1]DADOS!H43="5M","X","")</f>
      </c>
      <c r="N62" s="73">
        <f>IF([1]DADOS!H43="7M","X","")</f>
      </c>
      <c r="O62" s="73">
        <f>IF([1]DADOS!H43="PP","X","")</f>
      </c>
      <c r="P62" s="73"/>
      <c r="Q62" s="73"/>
      <c r="R62" s="73"/>
      <c r="S62" s="79"/>
      <c r="T62" s="80"/>
      <c r="U62" s="78">
        <f>IF([1]DADOS!F43="","",[1]DADOS!F43)</f>
      </c>
      <c r="V62" s="81">
        <f>IF(C62="","",[1]DADOS!$D$8)</f>
      </c>
    </row>
    <row r="63" ht="21" customHeight="1" spans="2:22" x14ac:dyDescent="0.25">
      <c r="B63" s="73">
        <v>34</v>
      </c>
      <c r="C63" s="74">
        <f>IF([1]DADOS!D44="","",[1]DADOS!D44)</f>
      </c>
      <c r="D63" s="75"/>
      <c r="E63" s="76"/>
      <c r="F63" s="76"/>
      <c r="G63" s="77"/>
      <c r="H63" s="74"/>
      <c r="I63" s="78">
        <f>IF([1]DADOS!G44="","",[1]DADOS!G44)</f>
      </c>
      <c r="J63" s="73">
        <f>IF([1]DADOS!I44="MONOFÁSICO","X","")</f>
      </c>
      <c r="K63" s="73">
        <f>IF([1]DADOS!I44="BIFÁSICO","X","")</f>
      </c>
      <c r="L63" s="73">
        <f>IF([1]DADOS!I44="TRIFÁSICO","X","")</f>
      </c>
      <c r="M63" s="73">
        <f>IF([1]DADOS!H44="5M","X","")</f>
      </c>
      <c r="N63" s="73">
        <f>IF([1]DADOS!H44="7M","X","")</f>
      </c>
      <c r="O63" s="73">
        <f>IF([1]DADOS!H44="PP","X","")</f>
      </c>
      <c r="P63" s="73"/>
      <c r="Q63" s="73"/>
      <c r="R63" s="73"/>
      <c r="S63" s="79"/>
      <c r="T63" s="80"/>
      <c r="U63" s="78">
        <f>IF([1]DADOS!F44="","",[1]DADOS!F44)</f>
      </c>
      <c r="V63" s="81">
        <f>IF(C63="","",[1]DADOS!$D$8)</f>
      </c>
    </row>
    <row r="64" ht="21" customHeight="1" spans="2:22" x14ac:dyDescent="0.25">
      <c r="B64" s="73">
        <v>35</v>
      </c>
      <c r="C64" s="74">
        <f>IF([1]DADOS!D45="","",[1]DADOS!D45)</f>
      </c>
      <c r="D64" s="75"/>
      <c r="E64" s="76"/>
      <c r="F64" s="76"/>
      <c r="G64" s="77"/>
      <c r="H64" s="74"/>
      <c r="I64" s="78">
        <f>IF([1]DADOS!G45="","",[1]DADOS!G45)</f>
      </c>
      <c r="J64" s="73">
        <f>IF([1]DADOS!I45="MONOFÁSICO","X","")</f>
      </c>
      <c r="K64" s="73">
        <f>IF([1]DADOS!I45="BIFÁSICO","X","")</f>
      </c>
      <c r="L64" s="73">
        <f>IF([1]DADOS!I45="TRIFÁSICO","X","")</f>
      </c>
      <c r="M64" s="73">
        <f>IF([1]DADOS!H45="5M","X","")</f>
      </c>
      <c r="N64" s="73">
        <f>IF([1]DADOS!H45="7M","X","")</f>
      </c>
      <c r="O64" s="73">
        <f>IF([1]DADOS!H45="PP","X","")</f>
      </c>
      <c r="P64" s="73"/>
      <c r="Q64" s="73"/>
      <c r="R64" s="73"/>
      <c r="S64" s="79"/>
      <c r="T64" s="80"/>
      <c r="U64" s="78">
        <f>IF([1]DADOS!F45="","",[1]DADOS!F45)</f>
      </c>
      <c r="V64" s="81">
        <f>IF(C64="","",[1]DADOS!$D$8)</f>
      </c>
    </row>
    <row r="65" ht="21" customHeight="1" spans="2:22" x14ac:dyDescent="0.25">
      <c r="B65" s="73">
        <v>36</v>
      </c>
      <c r="C65" s="74">
        <f>IF([1]DADOS!D46="","",[1]DADOS!D46)</f>
      </c>
      <c r="D65" s="75"/>
      <c r="E65" s="76"/>
      <c r="F65" s="76"/>
      <c r="G65" s="77"/>
      <c r="H65" s="74"/>
      <c r="I65" s="78">
        <f>IF([1]DADOS!G46="","",[1]DADOS!G46)</f>
      </c>
      <c r="J65" s="73">
        <f>IF([1]DADOS!I46="MONOFÁSICO","X","")</f>
      </c>
      <c r="K65" s="73">
        <f>IF([1]DADOS!I46="BIFÁSICO","X","")</f>
      </c>
      <c r="L65" s="73">
        <f>IF([1]DADOS!I46="TRIFÁSICO","X","")</f>
      </c>
      <c r="M65" s="73">
        <f>IF([1]DADOS!H46="5M","X","")</f>
      </c>
      <c r="N65" s="73">
        <f>IF([1]DADOS!H46="7M","X","")</f>
      </c>
      <c r="O65" s="73">
        <f>IF([1]DADOS!H46="PP","X","")</f>
      </c>
      <c r="P65" s="73"/>
      <c r="Q65" s="73"/>
      <c r="R65" s="73"/>
      <c r="S65" s="79"/>
      <c r="T65" s="80"/>
      <c r="U65" s="78">
        <f>IF([1]DADOS!F46="","",[1]DADOS!F46)</f>
      </c>
      <c r="V65" s="81">
        <f>IF(C65="","",[1]DADOS!$D$8)</f>
      </c>
    </row>
    <row r="66" ht="21" customHeight="1" spans="2:22" x14ac:dyDescent="0.25">
      <c r="B66" s="73">
        <v>37</v>
      </c>
      <c r="C66" s="74">
        <f>IF([1]DADOS!D47="","",[1]DADOS!D47)</f>
      </c>
      <c r="D66" s="75"/>
      <c r="E66" s="76"/>
      <c r="F66" s="76"/>
      <c r="G66" s="77"/>
      <c r="H66" s="74"/>
      <c r="I66" s="78">
        <f>IF([1]DADOS!G47="","",[1]DADOS!G47)</f>
      </c>
      <c r="J66" s="73">
        <f>IF([1]DADOS!I47="MONOFÁSICO","X","")</f>
      </c>
      <c r="K66" s="73">
        <f>IF([1]DADOS!I47="BIFÁSICO","X","")</f>
      </c>
      <c r="L66" s="73">
        <f>IF([1]DADOS!I47="TRIFÁSICO","X","")</f>
      </c>
      <c r="M66" s="73">
        <f>IF([1]DADOS!H47="5M","X","")</f>
      </c>
      <c r="N66" s="73">
        <f>IF([1]DADOS!H47="7M","X","")</f>
      </c>
      <c r="O66" s="73">
        <f>IF([1]DADOS!H47="PP","X","")</f>
      </c>
      <c r="P66" s="73"/>
      <c r="Q66" s="73"/>
      <c r="R66" s="73"/>
      <c r="S66" s="79"/>
      <c r="T66" s="80"/>
      <c r="U66" s="78">
        <f>IF([1]DADOS!F47="","",[1]DADOS!F47)</f>
      </c>
      <c r="V66" s="81">
        <f>IF(C66="","",[1]DADOS!$D$8)</f>
      </c>
    </row>
    <row r="67" ht="21" customHeight="1" spans="2:22" x14ac:dyDescent="0.25">
      <c r="B67" s="73">
        <v>38</v>
      </c>
      <c r="C67" s="74">
        <f>IF([1]DADOS!D48="","",[1]DADOS!D48)</f>
      </c>
      <c r="D67" s="75"/>
      <c r="E67" s="76"/>
      <c r="F67" s="76"/>
      <c r="G67" s="77"/>
      <c r="H67" s="74"/>
      <c r="I67" s="78">
        <f>IF([1]DADOS!G48="","",[1]DADOS!G48)</f>
      </c>
      <c r="J67" s="73">
        <f>IF([1]DADOS!I48="MONOFÁSICO","X","")</f>
      </c>
      <c r="K67" s="73">
        <f>IF([1]DADOS!I48="BIFÁSICO","X","")</f>
      </c>
      <c r="L67" s="73">
        <f>IF([1]DADOS!I48="TRIFÁSICO","X","")</f>
      </c>
      <c r="M67" s="73">
        <f>IF([1]DADOS!H48="5M","X","")</f>
      </c>
      <c r="N67" s="73">
        <f>IF([1]DADOS!H48="7M","X","")</f>
      </c>
      <c r="O67" s="73">
        <f>IF([1]DADOS!H48="PP","X","")</f>
      </c>
      <c r="P67" s="73"/>
      <c r="Q67" s="73"/>
      <c r="R67" s="73"/>
      <c r="S67" s="79"/>
      <c r="T67" s="80"/>
      <c r="U67" s="78">
        <f>IF([1]DADOS!F48="","",[1]DADOS!F48)</f>
      </c>
      <c r="V67" s="81">
        <f>IF(C67="","",[1]DADOS!$D$8)</f>
      </c>
    </row>
    <row r="68" ht="21" customHeight="1" spans="2:22" x14ac:dyDescent="0.25">
      <c r="B68" s="73">
        <v>39</v>
      </c>
      <c r="C68" s="74">
        <f>IF([1]DADOS!D49="","",[1]DADOS!D49)</f>
      </c>
      <c r="D68" s="75"/>
      <c r="E68" s="76"/>
      <c r="F68" s="76"/>
      <c r="G68" s="77"/>
      <c r="H68" s="74"/>
      <c r="I68" s="78">
        <f>IF([1]DADOS!G49="","",[1]DADOS!G49)</f>
      </c>
      <c r="J68" s="73">
        <f>IF([1]DADOS!I49="MONOFÁSICO","X","")</f>
      </c>
      <c r="K68" s="73">
        <f>IF([1]DADOS!I49="BIFÁSICO","X","")</f>
      </c>
      <c r="L68" s="73">
        <f>IF([1]DADOS!I49="TRIFÁSICO","X","")</f>
      </c>
      <c r="M68" s="73">
        <f>IF([1]DADOS!H49="5M","X","")</f>
      </c>
      <c r="N68" s="73">
        <f>IF([1]DADOS!H49="7M","X","")</f>
      </c>
      <c r="O68" s="73">
        <f>IF([1]DADOS!H49="PP","X","")</f>
      </c>
      <c r="P68" s="73"/>
      <c r="Q68" s="73"/>
      <c r="R68" s="73"/>
      <c r="S68" s="79"/>
      <c r="T68" s="80"/>
      <c r="U68" s="78">
        <f>IF([1]DADOS!F49="","",[1]DADOS!F49)</f>
      </c>
      <c r="V68" s="81">
        <f>IF(C68="","",[1]DADOS!$D$8)</f>
      </c>
    </row>
    <row r="69" ht="21" customHeight="1" spans="2:22" x14ac:dyDescent="0.25">
      <c r="B69" s="73">
        <v>40</v>
      </c>
      <c r="C69" s="74">
        <f>IF([1]DADOS!D50="","",[1]DADOS!D50)</f>
      </c>
      <c r="D69" s="75"/>
      <c r="E69" s="76"/>
      <c r="F69" s="76"/>
      <c r="G69" s="77"/>
      <c r="H69" s="74"/>
      <c r="I69" s="78">
        <f>IF([1]DADOS!G50="","",[1]DADOS!G50)</f>
      </c>
      <c r="J69" s="73">
        <f>IF([1]DADOS!I50="MONOFÁSICO","X","")</f>
      </c>
      <c r="K69" s="73">
        <f>IF([1]DADOS!I50="BIFÁSICO","X","")</f>
      </c>
      <c r="L69" s="73">
        <f>IF([1]DADOS!I50="TRIFÁSICO","X","")</f>
      </c>
      <c r="M69" s="73">
        <f>IF([1]DADOS!H50="5M","X","")</f>
      </c>
      <c r="N69" s="73">
        <f>IF([1]DADOS!H50="7M","X","")</f>
      </c>
      <c r="O69" s="73">
        <f>IF([1]DADOS!H50="PP","X","")</f>
      </c>
      <c r="P69" s="73"/>
      <c r="Q69" s="73"/>
      <c r="R69" s="73"/>
      <c r="S69" s="79"/>
      <c r="T69" s="80"/>
      <c r="U69" s="78">
        <f>IF([1]DADOS!F50="","",[1]DADOS!F50)</f>
      </c>
      <c r="V69" s="81">
        <f>IF(C69="","",[1]DADOS!$D$8)</f>
      </c>
    </row>
    <row r="70" ht="21" customHeight="1" spans="2:22" x14ac:dyDescent="0.25">
      <c r="B70" s="73">
        <v>41</v>
      </c>
      <c r="C70" s="74">
        <f>IF([1]DADOS!D51="","",[1]DADOS!D51)</f>
      </c>
      <c r="D70" s="75"/>
      <c r="E70" s="76"/>
      <c r="F70" s="76"/>
      <c r="G70" s="77"/>
      <c r="H70" s="74"/>
      <c r="I70" s="78">
        <f>IF([1]DADOS!G51="","",[1]DADOS!G51)</f>
      </c>
      <c r="J70" s="73">
        <f>IF([1]DADOS!I51="MONOFÁSICO","X","")</f>
      </c>
      <c r="K70" s="73">
        <f>IF([1]DADOS!I51="BIFÁSICO","X","")</f>
      </c>
      <c r="L70" s="73">
        <f>IF([1]DADOS!I51="TRIFÁSICO","X","")</f>
      </c>
      <c r="M70" s="73">
        <f>IF([1]DADOS!H51="5M","X","")</f>
      </c>
      <c r="N70" s="73">
        <f>IF([1]DADOS!H51="7M","X","")</f>
      </c>
      <c r="O70" s="73">
        <f>IF([1]DADOS!H51="PP","X","")</f>
      </c>
      <c r="P70" s="73"/>
      <c r="Q70" s="73"/>
      <c r="R70" s="73"/>
      <c r="S70" s="79"/>
      <c r="T70" s="80"/>
      <c r="U70" s="78">
        <f>IF([1]DADOS!F51="","",[1]DADOS!F51)</f>
      </c>
      <c r="V70" s="81">
        <f>IF(C70="","",[1]DADOS!$D$8)</f>
      </c>
    </row>
    <row r="71" ht="21" customHeight="1" spans="2:22" x14ac:dyDescent="0.25">
      <c r="B71" s="73">
        <v>42</v>
      </c>
      <c r="C71" s="74">
        <f>IF([1]DADOS!D52="","",[1]DADOS!D52)</f>
      </c>
      <c r="D71" s="75"/>
      <c r="E71" s="76"/>
      <c r="F71" s="76"/>
      <c r="G71" s="77"/>
      <c r="H71" s="74"/>
      <c r="I71" s="78">
        <f>IF([1]DADOS!G52="","",[1]DADOS!G52)</f>
      </c>
      <c r="J71" s="73">
        <f>IF([1]DADOS!I52="MONOFÁSICO","X","")</f>
      </c>
      <c r="K71" s="73">
        <f>IF([1]DADOS!I52="BIFÁSICO","X","")</f>
      </c>
      <c r="L71" s="73">
        <f>IF([1]DADOS!I52="TRIFÁSICO","X","")</f>
      </c>
      <c r="M71" s="73">
        <f>IF([1]DADOS!H52="5M","X","")</f>
      </c>
      <c r="N71" s="73">
        <f>IF([1]DADOS!H52="7M","X","")</f>
      </c>
      <c r="O71" s="73">
        <f>IF([1]DADOS!H52="PP","X","")</f>
      </c>
      <c r="P71" s="73"/>
      <c r="Q71" s="73"/>
      <c r="R71" s="73"/>
      <c r="S71" s="79"/>
      <c r="T71" s="80"/>
      <c r="U71" s="78">
        <f>IF([1]DADOS!F52="","",[1]DADOS!F52)</f>
      </c>
      <c r="V71" s="81">
        <f>IF(C71="","",[1]DADOS!$D$8)</f>
      </c>
    </row>
    <row r="72" ht="21" customHeight="1" spans="2:22" x14ac:dyDescent="0.25">
      <c r="B72" s="73">
        <v>43</v>
      </c>
      <c r="C72" s="74">
        <f>IF([1]DADOS!D53="","",[1]DADOS!D53)</f>
      </c>
      <c r="D72" s="75"/>
      <c r="E72" s="76"/>
      <c r="F72" s="76"/>
      <c r="G72" s="77"/>
      <c r="H72" s="74"/>
      <c r="I72" s="78">
        <f>IF([1]DADOS!G53="","",[1]DADOS!G53)</f>
      </c>
      <c r="J72" s="73">
        <f>IF([1]DADOS!I53="MONOFÁSICO","X","")</f>
      </c>
      <c r="K72" s="73">
        <f>IF([1]DADOS!I53="BIFÁSICO","X","")</f>
      </c>
      <c r="L72" s="73">
        <f>IF([1]DADOS!I53="TRIFÁSICO","X","")</f>
      </c>
      <c r="M72" s="73">
        <f>IF([1]DADOS!H53="5M","X","")</f>
      </c>
      <c r="N72" s="73">
        <f>IF([1]DADOS!H53="7M","X","")</f>
      </c>
      <c r="O72" s="73">
        <f>IF([1]DADOS!H53="PP","X","")</f>
      </c>
      <c r="P72" s="73"/>
      <c r="Q72" s="73"/>
      <c r="R72" s="73"/>
      <c r="S72" s="79"/>
      <c r="T72" s="80"/>
      <c r="U72" s="78">
        <f>IF([1]DADOS!F53="","",[1]DADOS!F53)</f>
      </c>
      <c r="V72" s="81">
        <f>IF(C72="","",[1]DADOS!$D$8)</f>
      </c>
    </row>
    <row r="73" ht="21" customHeight="1" spans="2:22" x14ac:dyDescent="0.25">
      <c r="B73" s="73">
        <v>44</v>
      </c>
      <c r="C73" s="74">
        <f>IF([1]DADOS!D54="","",[1]DADOS!D54)</f>
      </c>
      <c r="D73" s="75"/>
      <c r="E73" s="76"/>
      <c r="F73" s="76"/>
      <c r="G73" s="77"/>
      <c r="H73" s="74"/>
      <c r="I73" s="78">
        <f>IF([1]DADOS!G54="","",[1]DADOS!G54)</f>
      </c>
      <c r="J73" s="73">
        <f>IF([1]DADOS!I54="MONOFÁSICO","X","")</f>
      </c>
      <c r="K73" s="73">
        <f>IF([1]DADOS!I54="BIFÁSICO","X","")</f>
      </c>
      <c r="L73" s="73">
        <f>IF([1]DADOS!I54="TRIFÁSICO","X","")</f>
      </c>
      <c r="M73" s="73">
        <f>IF([1]DADOS!H54="5M","X","")</f>
      </c>
      <c r="N73" s="73">
        <f>IF([1]DADOS!H54="7M","X","")</f>
      </c>
      <c r="O73" s="73">
        <f>IF([1]DADOS!H54="PP","X","")</f>
      </c>
      <c r="P73" s="73"/>
      <c r="Q73" s="73"/>
      <c r="R73" s="73"/>
      <c r="S73" s="79"/>
      <c r="T73" s="80"/>
      <c r="U73" s="78">
        <f>IF([1]DADOS!F54="","",[1]DADOS!F54)</f>
      </c>
      <c r="V73" s="81">
        <f>IF(C73="","",[1]DADOS!$D$8)</f>
      </c>
    </row>
    <row r="74" ht="21" customHeight="1" spans="2:22" x14ac:dyDescent="0.25">
      <c r="B74" s="73">
        <v>45</v>
      </c>
      <c r="C74" s="74">
        <f>IF([1]DADOS!D55="","",[1]DADOS!D55)</f>
      </c>
      <c r="D74" s="75"/>
      <c r="E74" s="76"/>
      <c r="F74" s="76"/>
      <c r="G74" s="77"/>
      <c r="H74" s="74"/>
      <c r="I74" s="78">
        <f>IF([1]DADOS!G55="","",[1]DADOS!G55)</f>
      </c>
      <c r="J74" s="73">
        <f>IF([1]DADOS!I55="MONOFÁSICO","X","")</f>
      </c>
      <c r="K74" s="73">
        <f>IF([1]DADOS!I55="BIFÁSICO","X","")</f>
      </c>
      <c r="L74" s="73">
        <f>IF([1]DADOS!I55="TRIFÁSICO","X","")</f>
      </c>
      <c r="M74" s="73">
        <f>IF([1]DADOS!H55="5M","X","")</f>
      </c>
      <c r="N74" s="73">
        <f>IF([1]DADOS!H55="7M","X","")</f>
      </c>
      <c r="O74" s="73">
        <f>IF([1]DADOS!H55="PP","X","")</f>
      </c>
      <c r="P74" s="73"/>
      <c r="Q74" s="73"/>
      <c r="R74" s="73"/>
      <c r="S74" s="79"/>
      <c r="T74" s="80"/>
      <c r="U74" s="78">
        <f>IF([1]DADOS!F55="","",[1]DADOS!F55)</f>
      </c>
      <c r="V74" s="81">
        <f>IF(C74="","",[1]DADOS!$D$8)</f>
      </c>
    </row>
    <row r="75" ht="21" customHeight="1" spans="2:22" x14ac:dyDescent="0.25">
      <c r="B75" s="73">
        <v>46</v>
      </c>
      <c r="C75" s="74">
        <f>IF([1]DADOS!D56="","",[1]DADOS!D56)</f>
      </c>
      <c r="D75" s="75"/>
      <c r="E75" s="76"/>
      <c r="F75" s="76"/>
      <c r="G75" s="77"/>
      <c r="H75" s="74"/>
      <c r="I75" s="78">
        <f>IF([1]DADOS!G56="","",[1]DADOS!G56)</f>
      </c>
      <c r="J75" s="73">
        <f>IF([1]DADOS!I56="MONOFÁSICO","X","")</f>
      </c>
      <c r="K75" s="73">
        <f>IF([1]DADOS!I56="BIFÁSICO","X","")</f>
      </c>
      <c r="L75" s="73">
        <f>IF([1]DADOS!I56="TRIFÁSICO","X","")</f>
      </c>
      <c r="M75" s="73">
        <f>IF([1]DADOS!H56="5M","X","")</f>
      </c>
      <c r="N75" s="73">
        <f>IF([1]DADOS!H56="7M","X","")</f>
      </c>
      <c r="O75" s="73">
        <f>IF([1]DADOS!H56="PP","X","")</f>
      </c>
      <c r="P75" s="73"/>
      <c r="Q75" s="73"/>
      <c r="R75" s="73"/>
      <c r="S75" s="79"/>
      <c r="T75" s="80"/>
      <c r="U75" s="78">
        <f>IF([1]DADOS!F56="","",[1]DADOS!F56)</f>
      </c>
      <c r="V75" s="81">
        <f>IF(C75="","",[1]DADOS!$D$8)</f>
      </c>
    </row>
    <row r="76" ht="21" customHeight="1" spans="2:22" x14ac:dyDescent="0.25">
      <c r="B76" s="73">
        <v>47</v>
      </c>
      <c r="C76" s="74">
        <f>IF([1]DADOS!D57="","",[1]DADOS!D57)</f>
      </c>
      <c r="D76" s="75"/>
      <c r="E76" s="76"/>
      <c r="F76" s="76"/>
      <c r="G76" s="77"/>
      <c r="H76" s="74"/>
      <c r="I76" s="78">
        <f>IF([1]DADOS!G57="","",[1]DADOS!G57)</f>
      </c>
      <c r="J76" s="73">
        <f>IF([1]DADOS!I57="MONOFÁSICO","X","")</f>
      </c>
      <c r="K76" s="73">
        <f>IF([1]DADOS!I57="BIFÁSICO","X","")</f>
      </c>
      <c r="L76" s="73">
        <f>IF([1]DADOS!I57="TRIFÁSICO","X","")</f>
      </c>
      <c r="M76" s="73">
        <f>IF([1]DADOS!H57="5M","X","")</f>
      </c>
      <c r="N76" s="73">
        <f>IF([1]DADOS!H57="7M","X","")</f>
      </c>
      <c r="O76" s="73">
        <f>IF([1]DADOS!H57="PP","X","")</f>
      </c>
      <c r="P76" s="73"/>
      <c r="Q76" s="73"/>
      <c r="R76" s="73"/>
      <c r="S76" s="79"/>
      <c r="T76" s="80"/>
      <c r="U76" s="78">
        <f>IF([1]DADOS!F57="","",[1]DADOS!F57)</f>
      </c>
      <c r="V76" s="81">
        <f>IF(C76="","",[1]DADOS!$D$8)</f>
      </c>
    </row>
    <row r="77" ht="21" customHeight="1" spans="2:22" x14ac:dyDescent="0.25">
      <c r="B77" s="73">
        <v>48</v>
      </c>
      <c r="C77" s="74">
        <f>IF([1]DADOS!D58="","",[1]DADOS!D58)</f>
      </c>
      <c r="D77" s="75"/>
      <c r="E77" s="76"/>
      <c r="F77" s="76"/>
      <c r="G77" s="77"/>
      <c r="H77" s="74"/>
      <c r="I77" s="78">
        <f>IF([1]DADOS!G58="","",[1]DADOS!G58)</f>
      </c>
      <c r="J77" s="73">
        <f>IF([1]DADOS!I58="MONOFÁSICO","X","")</f>
      </c>
      <c r="K77" s="73">
        <f>IF([1]DADOS!I58="BIFÁSICO","X","")</f>
      </c>
      <c r="L77" s="73">
        <f>IF([1]DADOS!I58="TRIFÁSICO","X","")</f>
      </c>
      <c r="M77" s="73">
        <f>IF([1]DADOS!H58="5M","X","")</f>
      </c>
      <c r="N77" s="73">
        <f>IF([1]DADOS!H58="7M","X","")</f>
      </c>
      <c r="O77" s="73">
        <f>IF([1]DADOS!H58="PP","X","")</f>
      </c>
      <c r="P77" s="73"/>
      <c r="Q77" s="73"/>
      <c r="R77" s="73"/>
      <c r="S77" s="79"/>
      <c r="T77" s="80"/>
      <c r="U77" s="78">
        <f>IF([1]DADOS!F58="","",[1]DADOS!F58)</f>
      </c>
      <c r="V77" s="81">
        <f>IF(C77="","",[1]DADOS!$D$8)</f>
      </c>
    </row>
    <row r="78" ht="21" customHeight="1" spans="2:22" x14ac:dyDescent="0.25">
      <c r="B78" s="73">
        <v>49</v>
      </c>
      <c r="C78" s="74">
        <f>IF([1]DADOS!D59="","",[1]DADOS!D59)</f>
      </c>
      <c r="D78" s="75"/>
      <c r="E78" s="76"/>
      <c r="F78" s="76"/>
      <c r="G78" s="77"/>
      <c r="H78" s="74"/>
      <c r="I78" s="78">
        <f>IF([1]DADOS!G59="","",[1]DADOS!G59)</f>
      </c>
      <c r="J78" s="73">
        <f>IF([1]DADOS!I59="MONOFÁSICO","X","")</f>
      </c>
      <c r="K78" s="73">
        <f>IF([1]DADOS!I59="BIFÁSICO","X","")</f>
      </c>
      <c r="L78" s="73">
        <f>IF([1]DADOS!I59="TRIFÁSICO","X","")</f>
      </c>
      <c r="M78" s="73">
        <f>IF([1]DADOS!H59="5M","X","")</f>
      </c>
      <c r="N78" s="73">
        <f>IF([1]DADOS!H59="7M","X","")</f>
      </c>
      <c r="O78" s="73">
        <f>IF([1]DADOS!H59="PP","X","")</f>
      </c>
      <c r="P78" s="73"/>
      <c r="Q78" s="73"/>
      <c r="R78" s="73"/>
      <c r="S78" s="79"/>
      <c r="T78" s="80"/>
      <c r="U78" s="78">
        <f>IF([1]DADOS!F59="","",[1]DADOS!F59)</f>
      </c>
      <c r="V78" s="81">
        <f>IF(C78="","",[1]DADOS!$D$8)</f>
      </c>
    </row>
    <row r="79" ht="21" customHeight="1" spans="2:22" x14ac:dyDescent="0.25">
      <c r="B79" s="73">
        <v>50</v>
      </c>
      <c r="C79" s="74">
        <f>IF([1]DADOS!D60="","",[1]DADOS!D60)</f>
      </c>
      <c r="D79" s="75"/>
      <c r="E79" s="76"/>
      <c r="F79" s="76"/>
      <c r="G79" s="77"/>
      <c r="H79" s="74"/>
      <c r="I79" s="78">
        <f>IF([1]DADOS!G60="","",[1]DADOS!G60)</f>
      </c>
      <c r="J79" s="73">
        <f>IF([1]DADOS!I60="MONOFÁSICO","X","")</f>
      </c>
      <c r="K79" s="73">
        <f>IF([1]DADOS!I60="BIFÁSICO","X","")</f>
      </c>
      <c r="L79" s="73">
        <f>IF([1]DADOS!I60="TRIFÁSICO","X","")</f>
      </c>
      <c r="M79" s="73">
        <f>IF([1]DADOS!H60="5M","X","")</f>
      </c>
      <c r="N79" s="73">
        <f>IF([1]DADOS!H60="7M","X","")</f>
      </c>
      <c r="O79" s="73">
        <f>IF([1]DADOS!H60="PP","X","")</f>
      </c>
      <c r="P79" s="73"/>
      <c r="Q79" s="73"/>
      <c r="R79" s="73"/>
      <c r="S79" s="79"/>
      <c r="T79" s="80"/>
      <c r="U79" s="78">
        <f>IF([1]DADOS!F60="","",[1]DADOS!F60)</f>
      </c>
      <c r="V79" s="81">
        <f>IF(C79="","",[1]DADOS!$D$8)</f>
      </c>
    </row>
    <row r="80" ht="21" customHeight="1" spans="2:22" x14ac:dyDescent="0.25">
      <c r="B80" s="73">
        <v>51</v>
      </c>
      <c r="C80" s="74">
        <f>IF([1]DADOS!D61="","",[1]DADOS!D61)</f>
      </c>
      <c r="D80" s="75"/>
      <c r="E80" s="76"/>
      <c r="F80" s="76"/>
      <c r="G80" s="77"/>
      <c r="H80" s="74"/>
      <c r="I80" s="78">
        <f>IF([1]DADOS!G61="","",[1]DADOS!G61)</f>
      </c>
      <c r="J80" s="73">
        <f>IF([1]DADOS!I61="MONOFÁSICO","X","")</f>
      </c>
      <c r="K80" s="73">
        <f>IF([1]DADOS!I61="BIFÁSICO","X","")</f>
      </c>
      <c r="L80" s="73">
        <f>IF([1]DADOS!I61="TRIFÁSICO","X","")</f>
      </c>
      <c r="M80" s="73">
        <f>IF([1]DADOS!H61="5M","X","")</f>
      </c>
      <c r="N80" s="73">
        <f>IF([1]DADOS!H61="7M","X","")</f>
      </c>
      <c r="O80" s="73">
        <f>IF([1]DADOS!H61="PP","X","")</f>
      </c>
      <c r="P80" s="73"/>
      <c r="Q80" s="73"/>
      <c r="R80" s="73"/>
      <c r="S80" s="79"/>
      <c r="T80" s="80"/>
      <c r="U80" s="78">
        <f>IF([1]DADOS!F61="","",[1]DADOS!F61)</f>
      </c>
      <c r="V80" s="81">
        <f>IF(C80="","",[1]DADOS!$D$8)</f>
      </c>
    </row>
    <row r="81" ht="21" customHeight="1" spans="2:22" x14ac:dyDescent="0.25">
      <c r="B81" s="73">
        <v>52</v>
      </c>
      <c r="C81" s="74">
        <f>IF([1]DADOS!D62="","",[1]DADOS!D62)</f>
      </c>
      <c r="D81" s="75"/>
      <c r="E81" s="76"/>
      <c r="F81" s="76"/>
      <c r="G81" s="77"/>
      <c r="H81" s="74"/>
      <c r="I81" s="78">
        <f>IF([1]DADOS!G62="","",[1]DADOS!G62)</f>
      </c>
      <c r="J81" s="73">
        <f>IF([1]DADOS!I62="MONOFÁSICO","X","")</f>
      </c>
      <c r="K81" s="73">
        <f>IF([1]DADOS!I62="BIFÁSICO","X","")</f>
      </c>
      <c r="L81" s="73">
        <f>IF([1]DADOS!I62="TRIFÁSICO","X","")</f>
      </c>
      <c r="M81" s="73">
        <f>IF([1]DADOS!H62="5M","X","")</f>
      </c>
      <c r="N81" s="73">
        <f>IF([1]DADOS!H62="7M","X","")</f>
      </c>
      <c r="O81" s="73">
        <f>IF([1]DADOS!H62="PP","X","")</f>
      </c>
      <c r="P81" s="73"/>
      <c r="Q81" s="73"/>
      <c r="R81" s="73"/>
      <c r="S81" s="79"/>
      <c r="T81" s="80"/>
      <c r="U81" s="78">
        <f>IF([1]DADOS!F62="","",[1]DADOS!F62)</f>
      </c>
      <c r="V81" s="81">
        <f>IF(C81="","",[1]DADOS!$D$8)</f>
      </c>
    </row>
    <row r="82" ht="21" customHeight="1" spans="2:22" x14ac:dyDescent="0.25">
      <c r="B82" s="73">
        <v>53</v>
      </c>
      <c r="C82" s="74">
        <f>IF([1]DADOS!D63="","",[1]DADOS!D63)</f>
      </c>
      <c r="D82" s="75"/>
      <c r="E82" s="76"/>
      <c r="F82" s="76"/>
      <c r="G82" s="77"/>
      <c r="H82" s="74"/>
      <c r="I82" s="78">
        <f>IF([1]DADOS!G63="","",[1]DADOS!G63)</f>
      </c>
      <c r="J82" s="73">
        <f>IF([1]DADOS!I63="MONOFÁSICO","X","")</f>
      </c>
      <c r="K82" s="73">
        <f>IF([1]DADOS!I63="BIFÁSICO","X","")</f>
      </c>
      <c r="L82" s="73">
        <f>IF([1]DADOS!I63="TRIFÁSICO","X","")</f>
      </c>
      <c r="M82" s="73">
        <f>IF([1]DADOS!H63="5M","X","")</f>
      </c>
      <c r="N82" s="73">
        <f>IF([1]DADOS!H63="7M","X","")</f>
      </c>
      <c r="O82" s="73">
        <f>IF([1]DADOS!H63="PP","X","")</f>
      </c>
      <c r="P82" s="73"/>
      <c r="Q82" s="73"/>
      <c r="R82" s="73"/>
      <c r="S82" s="79"/>
      <c r="T82" s="80"/>
      <c r="U82" s="78">
        <f>IF([1]DADOS!F63="","",[1]DADOS!F63)</f>
      </c>
      <c r="V82" s="81">
        <f>IF(C82="","",[1]DADOS!$D$8)</f>
      </c>
    </row>
    <row r="83" ht="21" customHeight="1" spans="2:22" x14ac:dyDescent="0.25">
      <c r="B83" s="73">
        <v>54</v>
      </c>
      <c r="C83" s="74">
        <f>IF([1]DADOS!D64="","",[1]DADOS!D64)</f>
      </c>
      <c r="D83" s="75"/>
      <c r="E83" s="76"/>
      <c r="F83" s="76"/>
      <c r="G83" s="77"/>
      <c r="H83" s="74"/>
      <c r="I83" s="78">
        <f>IF([1]DADOS!G64="","",[1]DADOS!G64)</f>
      </c>
      <c r="J83" s="73">
        <f>IF([1]DADOS!I64="MONOFÁSICO","X","")</f>
      </c>
      <c r="K83" s="73">
        <f>IF([1]DADOS!I64="BIFÁSICO","X","")</f>
      </c>
      <c r="L83" s="73">
        <f>IF([1]DADOS!I64="TRIFÁSICO","X","")</f>
      </c>
      <c r="M83" s="73">
        <f>IF([1]DADOS!H64="5M","X","")</f>
      </c>
      <c r="N83" s="73">
        <f>IF([1]DADOS!H64="7M","X","")</f>
      </c>
      <c r="O83" s="73">
        <f>IF([1]DADOS!H64="PP","X","")</f>
      </c>
      <c r="P83" s="73"/>
      <c r="Q83" s="73"/>
      <c r="R83" s="73"/>
      <c r="S83" s="79"/>
      <c r="T83" s="80"/>
      <c r="U83" s="78">
        <f>IF([1]DADOS!F64="","",[1]DADOS!F64)</f>
      </c>
      <c r="V83" s="81">
        <f>IF(C83="","",[1]DADOS!$D$8)</f>
      </c>
    </row>
    <row r="84" ht="21" customHeight="1" spans="2:22" x14ac:dyDescent="0.25">
      <c r="B84" s="73">
        <v>55</v>
      </c>
      <c r="C84" s="74">
        <f>IF([1]DADOS!D65="","",[1]DADOS!D65)</f>
      </c>
      <c r="D84" s="75"/>
      <c r="E84" s="76"/>
      <c r="F84" s="76"/>
      <c r="G84" s="77"/>
      <c r="H84" s="74"/>
      <c r="I84" s="78">
        <f>IF([1]DADOS!G65="","",[1]DADOS!G65)</f>
      </c>
      <c r="J84" s="73">
        <f>IF([1]DADOS!I65="MONOFÁSICO","X","")</f>
      </c>
      <c r="K84" s="73">
        <f>IF([1]DADOS!I65="BIFÁSICO","X","")</f>
      </c>
      <c r="L84" s="73">
        <f>IF([1]DADOS!I65="TRIFÁSICO","X","")</f>
      </c>
      <c r="M84" s="73">
        <f>IF([1]DADOS!H65="5M","X","")</f>
      </c>
      <c r="N84" s="73">
        <f>IF([1]DADOS!H65="7M","X","")</f>
      </c>
      <c r="O84" s="73">
        <f>IF([1]DADOS!H65="PP","X","")</f>
      </c>
      <c r="P84" s="73"/>
      <c r="Q84" s="73"/>
      <c r="R84" s="73"/>
      <c r="S84" s="79"/>
      <c r="T84" s="80"/>
      <c r="U84" s="78">
        <f>IF([1]DADOS!F65="","",[1]DADOS!F65)</f>
      </c>
      <c r="V84" s="81">
        <f>IF(C84="","",[1]DADOS!$D$8)</f>
      </c>
    </row>
    <row r="85" ht="21" customHeight="1" spans="2:22" x14ac:dyDescent="0.25">
      <c r="B85" s="73">
        <v>56</v>
      </c>
      <c r="C85" s="74">
        <f>IF([1]DADOS!D66="","",[1]DADOS!D66)</f>
      </c>
      <c r="D85" s="75"/>
      <c r="E85" s="76"/>
      <c r="F85" s="76"/>
      <c r="G85" s="77"/>
      <c r="H85" s="74"/>
      <c r="I85" s="78">
        <f>IF([1]DADOS!G66="","",[1]DADOS!G66)</f>
      </c>
      <c r="J85" s="73">
        <f>IF([1]DADOS!I66="MONOFÁSICO","X","")</f>
      </c>
      <c r="K85" s="73">
        <f>IF([1]DADOS!I66="BIFÁSICO","X","")</f>
      </c>
      <c r="L85" s="73">
        <f>IF([1]DADOS!I66="TRIFÁSICO","X","")</f>
      </c>
      <c r="M85" s="73">
        <f>IF([1]DADOS!H66="5M","X","")</f>
      </c>
      <c r="N85" s="73">
        <f>IF([1]DADOS!H66="7M","X","")</f>
      </c>
      <c r="O85" s="73">
        <f>IF([1]DADOS!H66="PP","X","")</f>
      </c>
      <c r="P85" s="73"/>
      <c r="Q85" s="73"/>
      <c r="R85" s="73"/>
      <c r="S85" s="79"/>
      <c r="T85" s="80"/>
      <c r="U85" s="78">
        <f>IF([1]DADOS!F66="","",[1]DADOS!F66)</f>
      </c>
      <c r="V85" s="81">
        <f>IF(C85="","",[1]DADOS!$D$8)</f>
      </c>
    </row>
    <row r="86" ht="21" customHeight="1" spans="2:22" x14ac:dyDescent="0.25">
      <c r="B86" s="73">
        <v>57</v>
      </c>
      <c r="C86" s="74">
        <f>IF([1]DADOS!D67="","",[1]DADOS!D67)</f>
      </c>
      <c r="D86" s="75"/>
      <c r="E86" s="76"/>
      <c r="F86" s="76"/>
      <c r="G86" s="77"/>
      <c r="H86" s="74"/>
      <c r="I86" s="78">
        <f>IF([1]DADOS!G67="","",[1]DADOS!G67)</f>
      </c>
      <c r="J86" s="73">
        <f>IF([1]DADOS!I67="MONOFÁSICO","X","")</f>
      </c>
      <c r="K86" s="73">
        <f>IF([1]DADOS!I67="BIFÁSICO","X","")</f>
      </c>
      <c r="L86" s="73">
        <f>IF([1]DADOS!I67="TRIFÁSICO","X","")</f>
      </c>
      <c r="M86" s="73">
        <f>IF([1]DADOS!H67="5M","X","")</f>
      </c>
      <c r="N86" s="73">
        <f>IF([1]DADOS!H67="7M","X","")</f>
      </c>
      <c r="O86" s="73">
        <f>IF([1]DADOS!H67="PP","X","")</f>
      </c>
      <c r="P86" s="73"/>
      <c r="Q86" s="73"/>
      <c r="R86" s="73"/>
      <c r="S86" s="79"/>
      <c r="T86" s="80"/>
      <c r="U86" s="78">
        <f>IF([1]DADOS!F67="","",[1]DADOS!F67)</f>
      </c>
      <c r="V86" s="81">
        <f>IF(C86="","",[1]DADOS!$D$8)</f>
      </c>
    </row>
    <row r="87" ht="21" customHeight="1" spans="2:22" x14ac:dyDescent="0.25">
      <c r="B87" s="73">
        <v>58</v>
      </c>
      <c r="C87" s="74">
        <f>IF([1]DADOS!D68="","",[1]DADOS!D68)</f>
      </c>
      <c r="D87" s="75"/>
      <c r="E87" s="76"/>
      <c r="F87" s="76"/>
      <c r="G87" s="77"/>
      <c r="H87" s="74"/>
      <c r="I87" s="78">
        <f>IF([1]DADOS!G68="","",[1]DADOS!G68)</f>
      </c>
      <c r="J87" s="73">
        <f>IF([1]DADOS!I68="MONOFÁSICO","X","")</f>
      </c>
      <c r="K87" s="73">
        <f>IF([1]DADOS!I68="BIFÁSICO","X","")</f>
      </c>
      <c r="L87" s="73">
        <f>IF([1]DADOS!I68="TRIFÁSICO","X","")</f>
      </c>
      <c r="M87" s="73">
        <f>IF([1]DADOS!H68="5M","X","")</f>
      </c>
      <c r="N87" s="73">
        <f>IF([1]DADOS!H68="7M","X","")</f>
      </c>
      <c r="O87" s="73">
        <f>IF([1]DADOS!H68="PP","X","")</f>
      </c>
      <c r="P87" s="73"/>
      <c r="Q87" s="73"/>
      <c r="R87" s="73"/>
      <c r="S87" s="79"/>
      <c r="T87" s="80"/>
      <c r="U87" s="78">
        <f>IF([1]DADOS!F68="","",[1]DADOS!F68)</f>
      </c>
      <c r="V87" s="81">
        <f>IF(C87="","",[1]DADOS!$D$8)</f>
      </c>
    </row>
    <row r="88" ht="21" customHeight="1" spans="2:22" x14ac:dyDescent="0.25">
      <c r="B88" s="73">
        <v>59</v>
      </c>
      <c r="C88" s="74">
        <f>IF([1]DADOS!D69="","",[1]DADOS!D69)</f>
      </c>
      <c r="D88" s="75"/>
      <c r="E88" s="76"/>
      <c r="F88" s="76"/>
      <c r="G88" s="77"/>
      <c r="H88" s="74"/>
      <c r="I88" s="78">
        <f>IF([1]DADOS!G69="","",[1]DADOS!G69)</f>
      </c>
      <c r="J88" s="73">
        <f>IF([1]DADOS!I69="MONOFÁSICO","X","")</f>
      </c>
      <c r="K88" s="73">
        <f>IF([1]DADOS!I69="BIFÁSICO","X","")</f>
      </c>
      <c r="L88" s="73">
        <f>IF([1]DADOS!I69="TRIFÁSICO","X","")</f>
      </c>
      <c r="M88" s="73">
        <f>IF([1]DADOS!H69="5M","X","")</f>
      </c>
      <c r="N88" s="73">
        <f>IF([1]DADOS!H69="7M","X","")</f>
      </c>
      <c r="O88" s="73">
        <f>IF([1]DADOS!H69="PP","X","")</f>
      </c>
      <c r="P88" s="73"/>
      <c r="Q88" s="73"/>
      <c r="R88" s="73"/>
      <c r="S88" s="79"/>
      <c r="T88" s="80"/>
      <c r="U88" s="78">
        <f>IF([1]DADOS!F69="","",[1]DADOS!F69)</f>
      </c>
      <c r="V88" s="81">
        <f>IF(C88="","",[1]DADOS!$D$8)</f>
      </c>
    </row>
    <row r="89" ht="21" customHeight="1" spans="2:22" x14ac:dyDescent="0.25">
      <c r="B89" s="73">
        <v>60</v>
      </c>
      <c r="C89" s="74">
        <f>IF([1]DADOS!D70="","",[1]DADOS!D70)</f>
      </c>
      <c r="D89" s="75"/>
      <c r="E89" s="76"/>
      <c r="F89" s="76"/>
      <c r="G89" s="77"/>
      <c r="H89" s="74"/>
      <c r="I89" s="78">
        <f>IF([1]DADOS!G70="","",[1]DADOS!G70)</f>
      </c>
      <c r="J89" s="73">
        <f>IF([1]DADOS!I70="MONOFÁSICO","X","")</f>
      </c>
      <c r="K89" s="73">
        <f>IF([1]DADOS!I70="BIFÁSICO","X","")</f>
      </c>
      <c r="L89" s="73">
        <f>IF([1]DADOS!I70="TRIFÁSICO","X","")</f>
      </c>
      <c r="M89" s="73">
        <f>IF([1]DADOS!H70="5M","X","")</f>
      </c>
      <c r="N89" s="73">
        <f>IF([1]DADOS!H70="7M","X","")</f>
      </c>
      <c r="O89" s="73">
        <f>IF([1]DADOS!H70="PP","X","")</f>
      </c>
      <c r="P89" s="73"/>
      <c r="Q89" s="73"/>
      <c r="R89" s="73"/>
      <c r="S89" s="79"/>
      <c r="T89" s="80"/>
      <c r="U89" s="78">
        <f>IF([1]DADOS!F70="","",[1]DADOS!F70)</f>
      </c>
      <c r="V89" s="81">
        <f>IF(C89="","",[1]DADOS!$D$8)</f>
      </c>
    </row>
    <row r="90" ht="21" customHeight="1" spans="2:22" x14ac:dyDescent="0.25">
      <c r="B90" s="73">
        <v>61</v>
      </c>
      <c r="C90" s="74">
        <f>IF([1]DADOS!D71="","",[1]DADOS!D71)</f>
      </c>
      <c r="D90" s="75"/>
      <c r="E90" s="76"/>
      <c r="F90" s="76"/>
      <c r="G90" s="77"/>
      <c r="H90" s="74"/>
      <c r="I90" s="78">
        <f>IF([1]DADOS!G71="","",[1]DADOS!G71)</f>
      </c>
      <c r="J90" s="73">
        <f>IF([1]DADOS!I71="MONOFÁSICO","X","")</f>
      </c>
      <c r="K90" s="73">
        <f>IF([1]DADOS!I71="BIFÁSICO","X","")</f>
      </c>
      <c r="L90" s="73">
        <f>IF([1]DADOS!I71="TRIFÁSICO","X","")</f>
      </c>
      <c r="M90" s="73">
        <f>IF([1]DADOS!H71="5M","X","")</f>
      </c>
      <c r="N90" s="73">
        <f>IF([1]DADOS!H71="7M","X","")</f>
      </c>
      <c r="O90" s="73">
        <f>IF([1]DADOS!H71="PP","X","")</f>
      </c>
      <c r="P90" s="73"/>
      <c r="Q90" s="73"/>
      <c r="R90" s="73"/>
      <c r="S90" s="79"/>
      <c r="T90" s="80"/>
      <c r="U90" s="78">
        <f>IF([1]DADOS!F71="","",[1]DADOS!F71)</f>
      </c>
      <c r="V90" s="81">
        <f>IF(C90="","",[1]DADOS!$D$8)</f>
      </c>
    </row>
    <row r="91" ht="21" customHeight="1" spans="2:22" x14ac:dyDescent="0.25">
      <c r="B91" s="73">
        <v>62</v>
      </c>
      <c r="C91" s="74">
        <f>IF([1]DADOS!D72="","",[1]DADOS!D72)</f>
      </c>
      <c r="D91" s="75"/>
      <c r="E91" s="76"/>
      <c r="F91" s="76"/>
      <c r="G91" s="77"/>
      <c r="H91" s="74"/>
      <c r="I91" s="78">
        <f>IF([1]DADOS!G72="","",[1]DADOS!G72)</f>
      </c>
      <c r="J91" s="73">
        <f>IF([1]DADOS!I72="MONOFÁSICO","X","")</f>
      </c>
      <c r="K91" s="73">
        <f>IF([1]DADOS!I72="BIFÁSICO","X","")</f>
      </c>
      <c r="L91" s="73">
        <f>IF([1]DADOS!I72="TRIFÁSICO","X","")</f>
      </c>
      <c r="M91" s="73">
        <f>IF([1]DADOS!H72="5M","X","")</f>
      </c>
      <c r="N91" s="73">
        <f>IF([1]DADOS!H72="7M","X","")</f>
      </c>
      <c r="O91" s="73">
        <f>IF([1]DADOS!H72="PP","X","")</f>
      </c>
      <c r="P91" s="73"/>
      <c r="Q91" s="73"/>
      <c r="R91" s="73"/>
      <c r="S91" s="79"/>
      <c r="T91" s="80"/>
      <c r="U91" s="78">
        <f>IF([1]DADOS!F72="","",[1]DADOS!F72)</f>
      </c>
      <c r="V91" s="81">
        <f>IF(C91="","",[1]DADOS!$D$8)</f>
      </c>
    </row>
    <row r="92" ht="21" customHeight="1" spans="2:22" x14ac:dyDescent="0.25">
      <c r="B92" s="73">
        <v>63</v>
      </c>
      <c r="C92" s="74">
        <f>IF([1]DADOS!D73="","",[1]DADOS!D73)</f>
      </c>
      <c r="D92" s="75"/>
      <c r="E92" s="76"/>
      <c r="F92" s="76"/>
      <c r="G92" s="77"/>
      <c r="H92" s="74"/>
      <c r="I92" s="78">
        <f>IF([1]DADOS!G73="","",[1]DADOS!G73)</f>
      </c>
      <c r="J92" s="73">
        <f>IF([1]DADOS!I73="MONOFÁSICO","X","")</f>
      </c>
      <c r="K92" s="73">
        <f>IF([1]DADOS!I73="BIFÁSICO","X","")</f>
      </c>
      <c r="L92" s="73">
        <f>IF([1]DADOS!I73="TRIFÁSICO","X","")</f>
      </c>
      <c r="M92" s="73">
        <f>IF([1]DADOS!H73="5M","X","")</f>
      </c>
      <c r="N92" s="73">
        <f>IF([1]DADOS!H73="7M","X","")</f>
      </c>
      <c r="O92" s="73">
        <f>IF([1]DADOS!H73="PP","X","")</f>
      </c>
      <c r="P92" s="73"/>
      <c r="Q92" s="73"/>
      <c r="R92" s="73"/>
      <c r="S92" s="79"/>
      <c r="T92" s="80"/>
      <c r="U92" s="78">
        <f>IF([1]DADOS!F73="","",[1]DADOS!F73)</f>
      </c>
      <c r="V92" s="81">
        <f>IF(C92="","",[1]DADOS!$D$8)</f>
      </c>
    </row>
    <row r="93" ht="21" customHeight="1" spans="2:22" x14ac:dyDescent="0.25">
      <c r="B93" s="73">
        <v>64</v>
      </c>
      <c r="C93" s="74">
        <f>IF([1]DADOS!D74="","",[1]DADOS!D74)</f>
      </c>
      <c r="D93" s="75"/>
      <c r="E93" s="76"/>
      <c r="F93" s="76"/>
      <c r="G93" s="77"/>
      <c r="H93" s="74"/>
      <c r="I93" s="78">
        <f>IF([1]DADOS!G74="","",[1]DADOS!G74)</f>
      </c>
      <c r="J93" s="73">
        <f>IF([1]DADOS!I74="MONOFÁSICO","X","")</f>
      </c>
      <c r="K93" s="73">
        <f>IF([1]DADOS!I74="BIFÁSICO","X","")</f>
      </c>
      <c r="L93" s="73">
        <f>IF([1]DADOS!I74="TRIFÁSICO","X","")</f>
      </c>
      <c r="M93" s="73">
        <f>IF([1]DADOS!H74="5M","X","")</f>
      </c>
      <c r="N93" s="73">
        <f>IF([1]DADOS!H74="7M","X","")</f>
      </c>
      <c r="O93" s="73">
        <f>IF([1]DADOS!H74="PP","X","")</f>
      </c>
      <c r="P93" s="73"/>
      <c r="Q93" s="73"/>
      <c r="R93" s="73"/>
      <c r="S93" s="79"/>
      <c r="T93" s="80"/>
      <c r="U93" s="78">
        <f>IF([1]DADOS!F74="","",[1]DADOS!F74)</f>
      </c>
      <c r="V93" s="81">
        <f>IF(C93="","",[1]DADOS!$D$8)</f>
      </c>
    </row>
    <row r="94" ht="21" customHeight="1" spans="2:22" x14ac:dyDescent="0.25">
      <c r="B94" s="73">
        <v>65</v>
      </c>
      <c r="C94" s="74">
        <f>IF([1]DADOS!D75="","",[1]DADOS!D75)</f>
      </c>
      <c r="D94" s="75"/>
      <c r="E94" s="76"/>
      <c r="F94" s="76"/>
      <c r="G94" s="77"/>
      <c r="H94" s="74"/>
      <c r="I94" s="78">
        <f>IF([1]DADOS!G75="","",[1]DADOS!G75)</f>
      </c>
      <c r="J94" s="73">
        <f>IF([1]DADOS!I75="MONOFÁSICO","X","")</f>
      </c>
      <c r="K94" s="73">
        <f>IF([1]DADOS!I75="BIFÁSICO","X","")</f>
      </c>
      <c r="L94" s="73">
        <f>IF([1]DADOS!I75="TRIFÁSICO","X","")</f>
      </c>
      <c r="M94" s="73">
        <f>IF([1]DADOS!H75="5M","X","")</f>
      </c>
      <c r="N94" s="73">
        <f>IF([1]DADOS!H75="7M","X","")</f>
      </c>
      <c r="O94" s="73">
        <f>IF([1]DADOS!H75="PP","X","")</f>
      </c>
      <c r="P94" s="73"/>
      <c r="Q94" s="73"/>
      <c r="R94" s="73"/>
      <c r="S94" s="79"/>
      <c r="T94" s="80"/>
      <c r="U94" s="78">
        <f>IF([1]DADOS!F75="","",[1]DADOS!F75)</f>
      </c>
      <c r="V94" s="81">
        <f>IF(C94="","",[1]DADOS!$D$8)</f>
      </c>
    </row>
    <row r="95" ht="21" customHeight="1" spans="2:22" x14ac:dyDescent="0.25">
      <c r="B95" s="73">
        <v>66</v>
      </c>
      <c r="C95" s="74">
        <f>IF([1]DADOS!D76="","",[1]DADOS!D76)</f>
      </c>
      <c r="D95" s="75"/>
      <c r="E95" s="76"/>
      <c r="F95" s="76"/>
      <c r="G95" s="77"/>
      <c r="H95" s="74"/>
      <c r="I95" s="78">
        <f>IF([1]DADOS!G76="","",[1]DADOS!G76)</f>
      </c>
      <c r="J95" s="73">
        <f>IF([1]DADOS!I76="MONOFÁSICO","X","")</f>
      </c>
      <c r="K95" s="73">
        <f>IF([1]DADOS!I76="BIFÁSICO","X","")</f>
      </c>
      <c r="L95" s="73">
        <f>IF([1]DADOS!I76="TRIFÁSICO","X","")</f>
      </c>
      <c r="M95" s="73">
        <f>IF([1]DADOS!H76="5M","X","")</f>
      </c>
      <c r="N95" s="73">
        <f>IF([1]DADOS!H76="7M","X","")</f>
      </c>
      <c r="O95" s="73">
        <f>IF([1]DADOS!H76="PP","X","")</f>
      </c>
      <c r="P95" s="73"/>
      <c r="Q95" s="73"/>
      <c r="R95" s="73"/>
      <c r="S95" s="79"/>
      <c r="T95" s="80"/>
      <c r="U95" s="78">
        <f>IF([1]DADOS!F76="","",[1]DADOS!F76)</f>
      </c>
      <c r="V95" s="81">
        <f>IF(C95="","",[1]DADOS!$D$8)</f>
      </c>
    </row>
    <row r="96" ht="21" customHeight="1" spans="2:22" x14ac:dyDescent="0.25">
      <c r="B96" s="73">
        <v>67</v>
      </c>
      <c r="C96" s="74">
        <f>IF([1]DADOS!D77="","",[1]DADOS!D77)</f>
      </c>
      <c r="D96" s="75"/>
      <c r="E96" s="76"/>
      <c r="F96" s="76"/>
      <c r="G96" s="77"/>
      <c r="H96" s="74"/>
      <c r="I96" s="78">
        <f>IF([1]DADOS!G77="","",[1]DADOS!G77)</f>
      </c>
      <c r="J96" s="73">
        <f>IF([1]DADOS!I77="MONOFÁSICO","X","")</f>
      </c>
      <c r="K96" s="73">
        <f>IF([1]DADOS!I77="BIFÁSICO","X","")</f>
      </c>
      <c r="L96" s="73">
        <f>IF([1]DADOS!I77="TRIFÁSICO","X","")</f>
      </c>
      <c r="M96" s="73">
        <f>IF([1]DADOS!H77="5M","X","")</f>
      </c>
      <c r="N96" s="73">
        <f>IF([1]DADOS!H77="7M","X","")</f>
      </c>
      <c r="O96" s="73">
        <f>IF([1]DADOS!H77="PP","X","")</f>
      </c>
      <c r="P96" s="73"/>
      <c r="Q96" s="73"/>
      <c r="R96" s="73"/>
      <c r="S96" s="79"/>
      <c r="T96" s="80"/>
      <c r="U96" s="78">
        <f>IF([1]DADOS!F77="","",[1]DADOS!F77)</f>
      </c>
      <c r="V96" s="81">
        <f>IF(C96="","",[1]DADOS!$D$8)</f>
      </c>
    </row>
    <row r="97" ht="21" customHeight="1" spans="2:22" x14ac:dyDescent="0.25">
      <c r="B97" s="73">
        <v>68</v>
      </c>
      <c r="C97" s="74">
        <f>IF([1]DADOS!D78="","",[1]DADOS!D78)</f>
      </c>
      <c r="D97" s="75"/>
      <c r="E97" s="76"/>
      <c r="F97" s="76"/>
      <c r="G97" s="77"/>
      <c r="H97" s="74"/>
      <c r="I97" s="78">
        <f>IF([1]DADOS!G78="","",[1]DADOS!G78)</f>
      </c>
      <c r="J97" s="73">
        <f>IF([1]DADOS!I78="MONOFÁSICO","X","")</f>
      </c>
      <c r="K97" s="73">
        <f>IF([1]DADOS!I78="BIFÁSICO","X","")</f>
      </c>
      <c r="L97" s="73">
        <f>IF([1]DADOS!I78="TRIFÁSICO","X","")</f>
      </c>
      <c r="M97" s="73">
        <f>IF([1]DADOS!H78="5M","X","")</f>
      </c>
      <c r="N97" s="73">
        <f>IF([1]DADOS!H78="7M","X","")</f>
      </c>
      <c r="O97" s="73">
        <f>IF([1]DADOS!H78="PP","X","")</f>
      </c>
      <c r="P97" s="73"/>
      <c r="Q97" s="73"/>
      <c r="R97" s="73"/>
      <c r="S97" s="79"/>
      <c r="T97" s="80"/>
      <c r="U97" s="78">
        <f>IF([1]DADOS!F78="","",[1]DADOS!F78)</f>
      </c>
      <c r="V97" s="81">
        <f>IF(C97="","",[1]DADOS!$D$8)</f>
      </c>
    </row>
    <row r="98" ht="21" customHeight="1" spans="2:22" x14ac:dyDescent="0.25">
      <c r="B98" s="73">
        <v>69</v>
      </c>
      <c r="C98" s="74">
        <f>IF([1]DADOS!D79="","",[1]DADOS!D79)</f>
      </c>
      <c r="D98" s="75"/>
      <c r="E98" s="76"/>
      <c r="F98" s="76"/>
      <c r="G98" s="77"/>
      <c r="H98" s="74"/>
      <c r="I98" s="78">
        <f>IF([1]DADOS!G79="","",[1]DADOS!G79)</f>
      </c>
      <c r="J98" s="73">
        <f>IF([1]DADOS!I79="MONOFÁSICO","X","")</f>
      </c>
      <c r="K98" s="73">
        <f>IF([1]DADOS!I79="BIFÁSICO","X","")</f>
      </c>
      <c r="L98" s="73">
        <f>IF([1]DADOS!I79="TRIFÁSICO","X","")</f>
      </c>
      <c r="M98" s="73">
        <f>IF([1]DADOS!H79="5M","X","")</f>
      </c>
      <c r="N98" s="73">
        <f>IF([1]DADOS!H79="7M","X","")</f>
      </c>
      <c r="O98" s="73">
        <f>IF([1]DADOS!H79="PP","X","")</f>
      </c>
      <c r="P98" s="73"/>
      <c r="Q98" s="73"/>
      <c r="R98" s="73"/>
      <c r="S98" s="79"/>
      <c r="T98" s="80"/>
      <c r="U98" s="78">
        <f>IF([1]DADOS!F79="","",[1]DADOS!F79)</f>
      </c>
      <c r="V98" s="81">
        <f>IF(C98="","",[1]DADOS!$D$8)</f>
      </c>
    </row>
    <row r="99" ht="21" customHeight="1" spans="2:22" x14ac:dyDescent="0.25">
      <c r="B99" s="73">
        <v>70</v>
      </c>
      <c r="C99" s="74">
        <f>IF([1]DADOS!D80="","",[1]DADOS!D80)</f>
      </c>
      <c r="D99" s="75"/>
      <c r="E99" s="76"/>
      <c r="F99" s="76"/>
      <c r="G99" s="77"/>
      <c r="H99" s="74"/>
      <c r="I99" s="78">
        <f>IF([1]DADOS!G80="","",[1]DADOS!G80)</f>
      </c>
      <c r="J99" s="73">
        <f>IF([1]DADOS!I80="MONOFÁSICO","X","")</f>
      </c>
      <c r="K99" s="73">
        <f>IF([1]DADOS!I80="BIFÁSICO","X","")</f>
      </c>
      <c r="L99" s="73">
        <f>IF([1]DADOS!I80="TRIFÁSICO","X","")</f>
      </c>
      <c r="M99" s="73">
        <f>IF([1]DADOS!H80="5M","X","")</f>
      </c>
      <c r="N99" s="73">
        <f>IF([1]DADOS!H80="7M","X","")</f>
      </c>
      <c r="O99" s="73">
        <f>IF([1]DADOS!H80="PP","X","")</f>
      </c>
      <c r="P99" s="73"/>
      <c r="Q99" s="73"/>
      <c r="R99" s="73"/>
      <c r="S99" s="79"/>
      <c r="T99" s="80"/>
      <c r="U99" s="78">
        <f>IF([1]DADOS!F80="","",[1]DADOS!F80)</f>
      </c>
      <c r="V99" s="81">
        <f>IF(C99="","",[1]DADOS!$D$8)</f>
      </c>
    </row>
    <row r="100" ht="21" customHeight="1" spans="2:22" x14ac:dyDescent="0.25">
      <c r="B100" s="73">
        <v>71</v>
      </c>
      <c r="C100" s="74">
        <f>IF([1]DADOS!D81="","",[1]DADOS!D81)</f>
      </c>
      <c r="D100" s="75"/>
      <c r="E100" s="76"/>
      <c r="F100" s="76"/>
      <c r="G100" s="77"/>
      <c r="H100" s="74"/>
      <c r="I100" s="78">
        <f>IF([1]DADOS!G81="","",[1]DADOS!G81)</f>
      </c>
      <c r="J100" s="73">
        <f>IF([1]DADOS!I81="MONOFÁSICO","X","")</f>
      </c>
      <c r="K100" s="73">
        <f>IF([1]DADOS!I81="BIFÁSICO","X","")</f>
      </c>
      <c r="L100" s="73">
        <f>IF([1]DADOS!I81="TRIFÁSICO","X","")</f>
      </c>
      <c r="M100" s="73">
        <f>IF([1]DADOS!H81="5M","X","")</f>
      </c>
      <c r="N100" s="73">
        <f>IF([1]DADOS!H81="7M","X","")</f>
      </c>
      <c r="O100" s="73">
        <f>IF([1]DADOS!H81="PP","X","")</f>
      </c>
      <c r="P100" s="73"/>
      <c r="Q100" s="73"/>
      <c r="R100" s="73"/>
      <c r="S100" s="79"/>
      <c r="T100" s="80"/>
      <c r="U100" s="78">
        <f>IF([1]DADOS!F81="","",[1]DADOS!F81)</f>
      </c>
      <c r="V100" s="81">
        <f>IF(C100="","",[1]DADOS!$D$8)</f>
      </c>
    </row>
    <row r="101" ht="21" customHeight="1" spans="2:22" x14ac:dyDescent="0.25">
      <c r="B101" s="73">
        <v>72</v>
      </c>
      <c r="C101" s="74">
        <f>IF([1]DADOS!D82="","",[1]DADOS!D82)</f>
      </c>
      <c r="D101" s="75"/>
      <c r="E101" s="76"/>
      <c r="F101" s="76"/>
      <c r="G101" s="77"/>
      <c r="H101" s="74"/>
      <c r="I101" s="78">
        <f>IF([1]DADOS!G82="","",[1]DADOS!G82)</f>
      </c>
      <c r="J101" s="73">
        <f>IF([1]DADOS!I82="MONOFÁSICO","X","")</f>
      </c>
      <c r="K101" s="73">
        <f>IF([1]DADOS!I82="BIFÁSICO","X","")</f>
      </c>
      <c r="L101" s="73">
        <f>IF([1]DADOS!I82="TRIFÁSICO","X","")</f>
      </c>
      <c r="M101" s="73">
        <f>IF([1]DADOS!H82="5M","X","")</f>
      </c>
      <c r="N101" s="73">
        <f>IF([1]DADOS!H82="7M","X","")</f>
      </c>
      <c r="O101" s="73">
        <f>IF([1]DADOS!H82="PP","X","")</f>
      </c>
      <c r="P101" s="73"/>
      <c r="Q101" s="73"/>
      <c r="R101" s="73"/>
      <c r="S101" s="79"/>
      <c r="T101" s="80"/>
      <c r="U101" s="78">
        <f>IF([1]DADOS!F82="","",[1]DADOS!F82)</f>
      </c>
      <c r="V101" s="81">
        <f>IF(C101="","",[1]DADOS!$D$8)</f>
      </c>
    </row>
    <row r="102" ht="21" customHeight="1" spans="2:22" x14ac:dyDescent="0.25">
      <c r="B102" s="73">
        <v>73</v>
      </c>
      <c r="C102" s="74">
        <f>IF([1]DADOS!D83="","",[1]DADOS!D83)</f>
      </c>
      <c r="D102" s="75"/>
      <c r="E102" s="76"/>
      <c r="F102" s="76"/>
      <c r="G102" s="77"/>
      <c r="H102" s="74"/>
      <c r="I102" s="78">
        <f>IF([1]DADOS!G83="","",[1]DADOS!G83)</f>
      </c>
      <c r="J102" s="73">
        <f>IF([1]DADOS!I83="MONOFÁSICO","X","")</f>
      </c>
      <c r="K102" s="73">
        <f>IF([1]DADOS!I83="BIFÁSICO","X","")</f>
      </c>
      <c r="L102" s="73">
        <f>IF([1]DADOS!I83="TRIFÁSICO","X","")</f>
      </c>
      <c r="M102" s="73">
        <f>IF([1]DADOS!H83="5M","X","")</f>
      </c>
      <c r="N102" s="73">
        <f>IF([1]DADOS!H83="7M","X","")</f>
      </c>
      <c r="O102" s="73">
        <f>IF([1]DADOS!H83="PP","X","")</f>
      </c>
      <c r="P102" s="73"/>
      <c r="Q102" s="73"/>
      <c r="R102" s="73"/>
      <c r="S102" s="79"/>
      <c r="T102" s="80"/>
      <c r="U102" s="78">
        <f>IF([1]DADOS!F83="","",[1]DADOS!F83)</f>
      </c>
      <c r="V102" s="81">
        <f>IF(C102="","",[1]DADOS!$D$8)</f>
      </c>
    </row>
    <row r="103" ht="21" customHeight="1" spans="2:22" x14ac:dyDescent="0.25">
      <c r="B103" s="73">
        <v>74</v>
      </c>
      <c r="C103" s="74">
        <f>IF([1]DADOS!D84="","",[1]DADOS!D84)</f>
      </c>
      <c r="D103" s="75"/>
      <c r="E103" s="76"/>
      <c r="F103" s="76"/>
      <c r="G103" s="77"/>
      <c r="H103" s="74"/>
      <c r="I103" s="78">
        <f>IF([1]DADOS!G84="","",[1]DADOS!G84)</f>
      </c>
      <c r="J103" s="73">
        <f>IF([1]DADOS!I84="MONOFÁSICO","X","")</f>
      </c>
      <c r="K103" s="73">
        <f>IF([1]DADOS!I84="BIFÁSICO","X","")</f>
      </c>
      <c r="L103" s="73">
        <f>IF([1]DADOS!I84="TRIFÁSICO","X","")</f>
      </c>
      <c r="M103" s="73">
        <f>IF([1]DADOS!H84="5M","X","")</f>
      </c>
      <c r="N103" s="73">
        <f>IF([1]DADOS!H84="7M","X","")</f>
      </c>
      <c r="O103" s="73">
        <f>IF([1]DADOS!H84="PP","X","")</f>
      </c>
      <c r="P103" s="73"/>
      <c r="Q103" s="73"/>
      <c r="R103" s="73"/>
      <c r="S103" s="79"/>
      <c r="T103" s="80"/>
      <c r="U103" s="78">
        <f>IF([1]DADOS!F84="","",[1]DADOS!F84)</f>
      </c>
      <c r="V103" s="81">
        <f>IF(C103="","",[1]DADOS!$D$8)</f>
      </c>
    </row>
    <row r="104" ht="21" customHeight="1" spans="2:22" x14ac:dyDescent="0.25">
      <c r="B104" s="73">
        <v>75</v>
      </c>
      <c r="C104" s="74">
        <f>IF([1]DADOS!D85="","",[1]DADOS!D85)</f>
      </c>
      <c r="D104" s="75"/>
      <c r="E104" s="76"/>
      <c r="F104" s="76"/>
      <c r="G104" s="77"/>
      <c r="H104" s="74"/>
      <c r="I104" s="78">
        <f>IF([1]DADOS!G85="","",[1]DADOS!G85)</f>
      </c>
      <c r="J104" s="73">
        <f>IF([1]DADOS!I85="MONOFÁSICO","X","")</f>
      </c>
      <c r="K104" s="73">
        <f>IF([1]DADOS!I85="BIFÁSICO","X","")</f>
      </c>
      <c r="L104" s="73">
        <f>IF([1]DADOS!I85="TRIFÁSICO","X","")</f>
      </c>
      <c r="M104" s="73">
        <f>IF([1]DADOS!H85="5M","X","")</f>
      </c>
      <c r="N104" s="73">
        <f>IF([1]DADOS!H85="7M","X","")</f>
      </c>
      <c r="O104" s="73">
        <f>IF([1]DADOS!H85="PP","X","")</f>
      </c>
      <c r="P104" s="73"/>
      <c r="Q104" s="73"/>
      <c r="R104" s="73"/>
      <c r="S104" s="79"/>
      <c r="T104" s="80"/>
      <c r="U104" s="78">
        <f>IF([1]DADOS!F85="","",[1]DADOS!F85)</f>
      </c>
      <c r="V104" s="81">
        <f>IF(C104="","",[1]DADOS!$D$8)</f>
      </c>
    </row>
    <row r="105" ht="21" customHeight="1" spans="2:22" x14ac:dyDescent="0.25">
      <c r="B105" s="73">
        <v>76</v>
      </c>
      <c r="C105" s="74">
        <f>IF([1]DADOS!D86="","",[1]DADOS!D86)</f>
      </c>
      <c r="D105" s="75"/>
      <c r="E105" s="76"/>
      <c r="F105" s="76"/>
      <c r="G105" s="77"/>
      <c r="H105" s="74"/>
      <c r="I105" s="78">
        <f>IF([1]DADOS!G86="","",[1]DADOS!G86)</f>
      </c>
      <c r="J105" s="73">
        <f>IF([1]DADOS!I86="MONOFÁSICO","X","")</f>
      </c>
      <c r="K105" s="73">
        <f>IF([1]DADOS!I86="BIFÁSICO","X","")</f>
      </c>
      <c r="L105" s="73">
        <f>IF([1]DADOS!I86="TRIFÁSICO","X","")</f>
      </c>
      <c r="M105" s="73">
        <f>IF([1]DADOS!H86="5M","X","")</f>
      </c>
      <c r="N105" s="73">
        <f>IF([1]DADOS!H86="7M","X","")</f>
      </c>
      <c r="O105" s="73">
        <f>IF([1]DADOS!H86="PP","X","")</f>
      </c>
      <c r="P105" s="73"/>
      <c r="Q105" s="73"/>
      <c r="R105" s="73"/>
      <c r="S105" s="79"/>
      <c r="T105" s="80"/>
      <c r="U105" s="78">
        <f>IF([1]DADOS!F86="","",[1]DADOS!F86)</f>
      </c>
      <c r="V105" s="81">
        <f>IF(C105="","",[1]DADOS!$D$8)</f>
      </c>
    </row>
    <row r="106" ht="21" customHeight="1" spans="2:22" x14ac:dyDescent="0.25">
      <c r="B106" s="73">
        <v>77</v>
      </c>
      <c r="C106" s="74">
        <f>IF([1]DADOS!D87="","",[1]DADOS!D87)</f>
      </c>
      <c r="D106" s="75"/>
      <c r="E106" s="76"/>
      <c r="F106" s="76"/>
      <c r="G106" s="77"/>
      <c r="H106" s="74"/>
      <c r="I106" s="78">
        <f>IF([1]DADOS!G87="","",[1]DADOS!G87)</f>
      </c>
      <c r="J106" s="73">
        <f>IF([1]DADOS!I87="MONOFÁSICO","X","")</f>
      </c>
      <c r="K106" s="73">
        <f>IF([1]DADOS!I87="BIFÁSICO","X","")</f>
      </c>
      <c r="L106" s="73">
        <f>IF([1]DADOS!I87="TRIFÁSICO","X","")</f>
      </c>
      <c r="M106" s="73">
        <f>IF([1]DADOS!H87="5M","X","")</f>
      </c>
      <c r="N106" s="73">
        <f>IF([1]DADOS!H87="7M","X","")</f>
      </c>
      <c r="O106" s="73">
        <f>IF([1]DADOS!H87="PP","X","")</f>
      </c>
      <c r="P106" s="73"/>
      <c r="Q106" s="73"/>
      <c r="R106" s="73"/>
      <c r="S106" s="79"/>
      <c r="T106" s="80"/>
      <c r="U106" s="78">
        <f>IF([1]DADOS!F87="","",[1]DADOS!F87)</f>
      </c>
      <c r="V106" s="81">
        <f>IF(C106="","",[1]DADOS!$D$8)</f>
      </c>
    </row>
    <row r="107" ht="21" customHeight="1" spans="2:22" x14ac:dyDescent="0.25">
      <c r="B107" s="73">
        <v>78</v>
      </c>
      <c r="C107" s="74">
        <f>IF([1]DADOS!D88="","",[1]DADOS!D88)</f>
      </c>
      <c r="D107" s="75"/>
      <c r="E107" s="76"/>
      <c r="F107" s="76"/>
      <c r="G107" s="77"/>
      <c r="H107" s="74"/>
      <c r="I107" s="78">
        <f>IF([1]DADOS!G88="","",[1]DADOS!G88)</f>
      </c>
      <c r="J107" s="73">
        <f>IF([1]DADOS!I88="MONOFÁSICO","X","")</f>
      </c>
      <c r="K107" s="73">
        <f>IF([1]DADOS!I88="BIFÁSICO","X","")</f>
      </c>
      <c r="L107" s="73">
        <f>IF([1]DADOS!I88="TRIFÁSICO","X","")</f>
      </c>
      <c r="M107" s="73">
        <f>IF([1]DADOS!H88="5M","X","")</f>
      </c>
      <c r="N107" s="73">
        <f>IF([1]DADOS!H88="7M","X","")</f>
      </c>
      <c r="O107" s="73">
        <f>IF([1]DADOS!H88="PP","X","")</f>
      </c>
      <c r="P107" s="73"/>
      <c r="Q107" s="73"/>
      <c r="R107" s="73"/>
      <c r="S107" s="79"/>
      <c r="T107" s="80"/>
      <c r="U107" s="78">
        <f>IF([1]DADOS!F88="","",[1]DADOS!F88)</f>
      </c>
      <c r="V107" s="81">
        <f>IF(C107="","",[1]DADOS!$D$8)</f>
      </c>
    </row>
    <row r="108" ht="21" customHeight="1" spans="2:22" x14ac:dyDescent="0.25">
      <c r="B108" s="73">
        <v>79</v>
      </c>
      <c r="C108" s="74">
        <f>IF([1]DADOS!D89="","",[1]DADOS!D89)</f>
      </c>
      <c r="D108" s="75"/>
      <c r="E108" s="76"/>
      <c r="F108" s="76"/>
      <c r="G108" s="77"/>
      <c r="H108" s="74"/>
      <c r="I108" s="78">
        <f>IF([1]DADOS!G89="","",[1]DADOS!G89)</f>
      </c>
      <c r="J108" s="73">
        <f>IF([1]DADOS!I89="MONOFÁSICO","X","")</f>
      </c>
      <c r="K108" s="73">
        <f>IF([1]DADOS!I89="BIFÁSICO","X","")</f>
      </c>
      <c r="L108" s="73">
        <f>IF([1]DADOS!I89="TRIFÁSICO","X","")</f>
      </c>
      <c r="M108" s="73">
        <f>IF([1]DADOS!H89="5M","X","")</f>
      </c>
      <c r="N108" s="73">
        <f>IF([1]DADOS!H89="7M","X","")</f>
      </c>
      <c r="O108" s="73">
        <f>IF([1]DADOS!H89="PP","X","")</f>
      </c>
      <c r="P108" s="73"/>
      <c r="Q108" s="73"/>
      <c r="R108" s="73"/>
      <c r="S108" s="79"/>
      <c r="T108" s="80"/>
      <c r="U108" s="78">
        <f>IF([1]DADOS!F89="","",[1]DADOS!F89)</f>
      </c>
      <c r="V108" s="81">
        <f>IF(C108="","",[1]DADOS!$D$8)</f>
      </c>
    </row>
    <row r="109" ht="21" customHeight="1" spans="2:22" x14ac:dyDescent="0.25">
      <c r="B109" s="73">
        <v>80</v>
      </c>
      <c r="C109" s="74">
        <f>IF([1]DADOS!D90="","",[1]DADOS!D90)</f>
      </c>
      <c r="D109" s="75"/>
      <c r="E109" s="76"/>
      <c r="F109" s="76"/>
      <c r="G109" s="77"/>
      <c r="H109" s="74"/>
      <c r="I109" s="78">
        <f>IF([1]DADOS!G90="","",[1]DADOS!G90)</f>
      </c>
      <c r="J109" s="73">
        <f>IF([1]DADOS!I90="MONOFÁSICO","X","")</f>
      </c>
      <c r="K109" s="73">
        <f>IF([1]DADOS!I90="BIFÁSICO","X","")</f>
      </c>
      <c r="L109" s="73">
        <f>IF([1]DADOS!I90="TRIFÁSICO","X","")</f>
      </c>
      <c r="M109" s="73">
        <f>IF([1]DADOS!H90="5M","X","")</f>
      </c>
      <c r="N109" s="73">
        <f>IF([1]DADOS!H90="7M","X","")</f>
      </c>
      <c r="O109" s="73">
        <f>IF([1]DADOS!H90="PP","X","")</f>
      </c>
      <c r="P109" s="73"/>
      <c r="Q109" s="73"/>
      <c r="R109" s="73"/>
      <c r="S109" s="79"/>
      <c r="T109" s="80"/>
      <c r="U109" s="78">
        <f>IF([1]DADOS!F90="","",[1]DADOS!F90)</f>
      </c>
      <c r="V109" s="81">
        <f>IF(C109="","",[1]DADOS!$D$8)</f>
      </c>
    </row>
    <row r="110" ht="21" customHeight="1" spans="2:22" x14ac:dyDescent="0.25">
      <c r="B110" s="73">
        <v>81</v>
      </c>
      <c r="C110" s="74">
        <f>IF([1]DADOS!D91="","",[1]DADOS!D91)</f>
      </c>
      <c r="D110" s="75"/>
      <c r="E110" s="76"/>
      <c r="F110" s="76"/>
      <c r="G110" s="77"/>
      <c r="H110" s="74"/>
      <c r="I110" s="78">
        <f>IF([1]DADOS!G91="","",[1]DADOS!G91)</f>
      </c>
      <c r="J110" s="73">
        <f>IF([1]DADOS!I91="MONOFÁSICO","X","")</f>
      </c>
      <c r="K110" s="73">
        <f>IF([1]DADOS!I91="BIFÁSICO","X","")</f>
      </c>
      <c r="L110" s="73">
        <f>IF([1]DADOS!I91="TRIFÁSICO","X","")</f>
      </c>
      <c r="M110" s="73">
        <f>IF([1]DADOS!H91="5M","X","")</f>
      </c>
      <c r="N110" s="73">
        <f>IF([1]DADOS!H91="7M","X","")</f>
      </c>
      <c r="O110" s="73">
        <f>IF([1]DADOS!H91="PP","X","")</f>
      </c>
      <c r="P110" s="73"/>
      <c r="Q110" s="73"/>
      <c r="R110" s="73"/>
      <c r="S110" s="79"/>
      <c r="T110" s="80"/>
      <c r="U110" s="78">
        <f>IF([1]DADOS!F91="","",[1]DADOS!F91)</f>
      </c>
      <c r="V110" s="81">
        <f>IF(C110="","",[1]DADOS!$D$8)</f>
      </c>
    </row>
    <row r="111" ht="21" customHeight="1" spans="2:22" x14ac:dyDescent="0.25">
      <c r="B111" s="73">
        <v>82</v>
      </c>
      <c r="C111" s="74">
        <f>IF([1]DADOS!D92="","",[1]DADOS!D92)</f>
      </c>
      <c r="D111" s="75"/>
      <c r="E111" s="76"/>
      <c r="F111" s="76"/>
      <c r="G111" s="77"/>
      <c r="H111" s="74"/>
      <c r="I111" s="78">
        <f>IF([1]DADOS!G92="","",[1]DADOS!G92)</f>
      </c>
      <c r="J111" s="73">
        <f>IF([1]DADOS!I92="MONOFÁSICO","X","")</f>
      </c>
      <c r="K111" s="73">
        <f>IF([1]DADOS!I92="BIFÁSICO","X","")</f>
      </c>
      <c r="L111" s="73">
        <f>IF([1]DADOS!I92="TRIFÁSICO","X","")</f>
      </c>
      <c r="M111" s="73">
        <f>IF([1]DADOS!H92="5M","X","")</f>
      </c>
      <c r="N111" s="73">
        <f>IF([1]DADOS!H92="7M","X","")</f>
      </c>
      <c r="O111" s="73">
        <f>IF([1]DADOS!H92="PP","X","")</f>
      </c>
      <c r="P111" s="73"/>
      <c r="Q111" s="73"/>
      <c r="R111" s="73"/>
      <c r="S111" s="79"/>
      <c r="T111" s="80"/>
      <c r="U111" s="78">
        <f>IF([1]DADOS!F92="","",[1]DADOS!F92)</f>
      </c>
      <c r="V111" s="81">
        <f>IF(C111="","",[1]DADOS!$D$8)</f>
      </c>
    </row>
    <row r="112" ht="21" customHeight="1" spans="2:22" x14ac:dyDescent="0.25">
      <c r="B112" s="73">
        <v>83</v>
      </c>
      <c r="C112" s="74">
        <f>IF([1]DADOS!D93="","",[1]DADOS!D93)</f>
      </c>
      <c r="D112" s="75"/>
      <c r="E112" s="76"/>
      <c r="F112" s="76"/>
      <c r="G112" s="77"/>
      <c r="H112" s="74"/>
      <c r="I112" s="78">
        <f>IF([1]DADOS!G93="","",[1]DADOS!G93)</f>
      </c>
      <c r="J112" s="73">
        <f>IF([1]DADOS!I93="MONOFÁSICO","X","")</f>
      </c>
      <c r="K112" s="73">
        <f>IF([1]DADOS!I93="BIFÁSICO","X","")</f>
      </c>
      <c r="L112" s="73">
        <f>IF([1]DADOS!I93="TRIFÁSICO","X","")</f>
      </c>
      <c r="M112" s="73">
        <f>IF([1]DADOS!H93="5M","X","")</f>
      </c>
      <c r="N112" s="73">
        <f>IF([1]DADOS!H93="7M","X","")</f>
      </c>
      <c r="O112" s="73">
        <f>IF([1]DADOS!H93="PP","X","")</f>
      </c>
      <c r="P112" s="73"/>
      <c r="Q112" s="73"/>
      <c r="R112" s="73"/>
      <c r="S112" s="79"/>
      <c r="T112" s="80"/>
      <c r="U112" s="78">
        <f>IF([1]DADOS!F93="","",[1]DADOS!F93)</f>
      </c>
      <c r="V112" s="81">
        <f>IF(C112="","",[1]DADOS!$D$8)</f>
      </c>
    </row>
    <row r="113" ht="21" customHeight="1" spans="2:22" x14ac:dyDescent="0.25">
      <c r="B113" s="73">
        <v>84</v>
      </c>
      <c r="C113" s="74">
        <f>IF([1]DADOS!D94="","",[1]DADOS!D94)</f>
      </c>
      <c r="D113" s="75"/>
      <c r="E113" s="76"/>
      <c r="F113" s="76"/>
      <c r="G113" s="77"/>
      <c r="H113" s="74"/>
      <c r="I113" s="78">
        <f>IF([1]DADOS!G94="","",[1]DADOS!G94)</f>
      </c>
      <c r="J113" s="73">
        <f>IF([1]DADOS!I94="MONOFÁSICO","X","")</f>
      </c>
      <c r="K113" s="73">
        <f>IF([1]DADOS!I94="BIFÁSICO","X","")</f>
      </c>
      <c r="L113" s="73">
        <f>IF([1]DADOS!I94="TRIFÁSICO","X","")</f>
      </c>
      <c r="M113" s="73">
        <f>IF([1]DADOS!H94="5M","X","")</f>
      </c>
      <c r="N113" s="73">
        <f>IF([1]DADOS!H94="7M","X","")</f>
      </c>
      <c r="O113" s="73">
        <f>IF([1]DADOS!H94="PP","X","")</f>
      </c>
      <c r="P113" s="73"/>
      <c r="Q113" s="73"/>
      <c r="R113" s="73"/>
      <c r="S113" s="79"/>
      <c r="T113" s="80"/>
      <c r="U113" s="78">
        <f>IF([1]DADOS!F94="","",[1]DADOS!F94)</f>
      </c>
      <c r="V113" s="81">
        <f>IF(C113="","",[1]DADOS!$D$8)</f>
      </c>
    </row>
    <row r="114" ht="21" customHeight="1" spans="2:22" x14ac:dyDescent="0.25">
      <c r="B114" s="73">
        <v>85</v>
      </c>
      <c r="C114" s="74">
        <f>IF([1]DADOS!D95="","",[1]DADOS!D95)</f>
      </c>
      <c r="D114" s="75"/>
      <c r="E114" s="76"/>
      <c r="F114" s="76"/>
      <c r="G114" s="77"/>
      <c r="H114" s="74"/>
      <c r="I114" s="78">
        <f>IF([1]DADOS!G95="","",[1]DADOS!G95)</f>
      </c>
      <c r="J114" s="73">
        <f>IF([1]DADOS!I95="MONOFÁSICO","X","")</f>
      </c>
      <c r="K114" s="73">
        <f>IF([1]DADOS!I95="BIFÁSICO","X","")</f>
      </c>
      <c r="L114" s="73">
        <f>IF([1]DADOS!I95="TRIFÁSICO","X","")</f>
      </c>
      <c r="M114" s="73">
        <f>IF([1]DADOS!H95="5M","X","")</f>
      </c>
      <c r="N114" s="73">
        <f>IF([1]DADOS!H95="7M","X","")</f>
      </c>
      <c r="O114" s="73">
        <f>IF([1]DADOS!H95="PP","X","")</f>
      </c>
      <c r="P114" s="73"/>
      <c r="Q114" s="73"/>
      <c r="R114" s="73"/>
      <c r="S114" s="79"/>
      <c r="T114" s="80"/>
      <c r="U114" s="78">
        <f>IF([1]DADOS!F95="","",[1]DADOS!F95)</f>
      </c>
      <c r="V114" s="81">
        <f>IF(C114="","",[1]DADOS!$D$8)</f>
      </c>
    </row>
    <row r="115" ht="21" customHeight="1" spans="2:22" x14ac:dyDescent="0.25">
      <c r="B115" s="73">
        <v>86</v>
      </c>
      <c r="C115" s="74">
        <f>IF([1]DADOS!D96="","",[1]DADOS!D96)</f>
      </c>
      <c r="D115" s="75"/>
      <c r="E115" s="76"/>
      <c r="F115" s="76"/>
      <c r="G115" s="77"/>
      <c r="H115" s="74"/>
      <c r="I115" s="78">
        <f>IF([1]DADOS!G96="","",[1]DADOS!G96)</f>
      </c>
      <c r="J115" s="73">
        <f>IF([1]DADOS!I96="MONOFÁSICO","X","")</f>
      </c>
      <c r="K115" s="73">
        <f>IF([1]DADOS!I96="BIFÁSICO","X","")</f>
      </c>
      <c r="L115" s="73">
        <f>IF([1]DADOS!I96="TRIFÁSICO","X","")</f>
      </c>
      <c r="M115" s="73">
        <f>IF([1]DADOS!H96="5M","X","")</f>
      </c>
      <c r="N115" s="73">
        <f>IF([1]DADOS!H96="7M","X","")</f>
      </c>
      <c r="O115" s="73">
        <f>IF([1]DADOS!H96="PP","X","")</f>
      </c>
      <c r="P115" s="73"/>
      <c r="Q115" s="73"/>
      <c r="R115" s="73"/>
      <c r="S115" s="79"/>
      <c r="T115" s="80"/>
      <c r="U115" s="78">
        <f>IF([1]DADOS!F96="","",[1]DADOS!F96)</f>
      </c>
      <c r="V115" s="81">
        <f>IF(C115="","",[1]DADOS!$D$8)</f>
      </c>
    </row>
    <row r="116" ht="21" customHeight="1" spans="2:22" x14ac:dyDescent="0.25">
      <c r="B116" s="73">
        <v>87</v>
      </c>
      <c r="C116" s="74">
        <f>IF([1]DADOS!D97="","",[1]DADOS!D97)</f>
      </c>
      <c r="D116" s="75"/>
      <c r="E116" s="76"/>
      <c r="F116" s="76"/>
      <c r="G116" s="77"/>
      <c r="H116" s="74"/>
      <c r="I116" s="78">
        <f>IF([1]DADOS!G97="","",[1]DADOS!G97)</f>
      </c>
      <c r="J116" s="73">
        <f>IF([1]DADOS!I97="MONOFÁSICO","X","")</f>
      </c>
      <c r="K116" s="73">
        <f>IF([1]DADOS!I97="BIFÁSICO","X","")</f>
      </c>
      <c r="L116" s="73">
        <f>IF([1]DADOS!I97="TRIFÁSICO","X","")</f>
      </c>
      <c r="M116" s="73">
        <f>IF([1]DADOS!H97="5M","X","")</f>
      </c>
      <c r="N116" s="73">
        <f>IF([1]DADOS!H97="7M","X","")</f>
      </c>
      <c r="O116" s="73">
        <f>IF([1]DADOS!H97="PP","X","")</f>
      </c>
      <c r="P116" s="73"/>
      <c r="Q116" s="73"/>
      <c r="R116" s="73"/>
      <c r="S116" s="79"/>
      <c r="T116" s="80"/>
      <c r="U116" s="78">
        <f>IF([1]DADOS!F97="","",[1]DADOS!F97)</f>
      </c>
      <c r="V116" s="81">
        <f>IF(C116="","",[1]DADOS!$D$8)</f>
      </c>
    </row>
    <row r="117" ht="21" customHeight="1" spans="2:22" x14ac:dyDescent="0.25">
      <c r="B117" s="73">
        <v>88</v>
      </c>
      <c r="C117" s="74">
        <f>IF([1]DADOS!D98="","",[1]DADOS!D98)</f>
      </c>
      <c r="D117" s="75"/>
      <c r="E117" s="76"/>
      <c r="F117" s="76"/>
      <c r="G117" s="77"/>
      <c r="H117" s="74"/>
      <c r="I117" s="78">
        <f>IF([1]DADOS!G98="","",[1]DADOS!G98)</f>
      </c>
      <c r="J117" s="73">
        <f>IF([1]DADOS!I98="MONOFÁSICO","X","")</f>
      </c>
      <c r="K117" s="73">
        <f>IF([1]DADOS!I98="BIFÁSICO","X","")</f>
      </c>
      <c r="L117" s="73">
        <f>IF([1]DADOS!I98="TRIFÁSICO","X","")</f>
      </c>
      <c r="M117" s="73">
        <f>IF([1]DADOS!H98="5M","X","")</f>
      </c>
      <c r="N117" s="73">
        <f>IF([1]DADOS!H98="7M","X","")</f>
      </c>
      <c r="O117" s="73">
        <f>IF([1]DADOS!H98="PP","X","")</f>
      </c>
      <c r="P117" s="73"/>
      <c r="Q117" s="73"/>
      <c r="R117" s="73"/>
      <c r="S117" s="79"/>
      <c r="T117" s="80"/>
      <c r="U117" s="78">
        <f>IF([1]DADOS!F98="","",[1]DADOS!F98)</f>
      </c>
      <c r="V117" s="81">
        <f>IF(C117="","",[1]DADOS!$D$8)</f>
      </c>
    </row>
    <row r="118" ht="21" customHeight="1" spans="2:22" x14ac:dyDescent="0.25">
      <c r="B118" s="73">
        <v>89</v>
      </c>
      <c r="C118" s="74">
        <f>IF([1]DADOS!D99="","",[1]DADOS!D99)</f>
      </c>
      <c r="D118" s="75"/>
      <c r="E118" s="76"/>
      <c r="F118" s="76"/>
      <c r="G118" s="77"/>
      <c r="H118" s="74"/>
      <c r="I118" s="78">
        <f>IF([1]DADOS!G99="","",[1]DADOS!G99)</f>
      </c>
      <c r="J118" s="73">
        <f>IF([1]DADOS!I99="MONOFÁSICO","X","")</f>
      </c>
      <c r="K118" s="73">
        <f>IF([1]DADOS!I99="BIFÁSICO","X","")</f>
      </c>
      <c r="L118" s="73">
        <f>IF([1]DADOS!I99="TRIFÁSICO","X","")</f>
      </c>
      <c r="M118" s="73">
        <f>IF([1]DADOS!H99="5M","X","")</f>
      </c>
      <c r="N118" s="73">
        <f>IF([1]DADOS!H99="7M","X","")</f>
      </c>
      <c r="O118" s="73">
        <f>IF([1]DADOS!H99="PP","X","")</f>
      </c>
      <c r="P118" s="73"/>
      <c r="Q118" s="73"/>
      <c r="R118" s="73"/>
      <c r="S118" s="79"/>
      <c r="T118" s="80"/>
      <c r="U118" s="78">
        <f>IF([1]DADOS!F99="","",[1]DADOS!F99)</f>
      </c>
      <c r="V118" s="81">
        <f>IF(C118="","",[1]DADOS!$D$8)</f>
      </c>
    </row>
    <row r="119" ht="21" customHeight="1" spans="2:22" x14ac:dyDescent="0.25">
      <c r="B119" s="73">
        <v>90</v>
      </c>
      <c r="C119" s="74">
        <f>IF([1]DADOS!D100="","",[1]DADOS!D100)</f>
      </c>
      <c r="D119" s="75"/>
      <c r="E119" s="76"/>
      <c r="F119" s="76"/>
      <c r="G119" s="77"/>
      <c r="H119" s="74"/>
      <c r="I119" s="78">
        <f>IF([1]DADOS!G100="","",[1]DADOS!G100)</f>
      </c>
      <c r="J119" s="73">
        <f>IF([1]DADOS!I100="MONOFÁSICO","X","")</f>
      </c>
      <c r="K119" s="73">
        <f>IF([1]DADOS!I100="BIFÁSICO","X","")</f>
      </c>
      <c r="L119" s="73">
        <f>IF([1]DADOS!I100="TRIFÁSICO","X","")</f>
      </c>
      <c r="M119" s="73">
        <f>IF([1]DADOS!H100="5M","X","")</f>
      </c>
      <c r="N119" s="73">
        <f>IF([1]DADOS!H100="7M","X","")</f>
      </c>
      <c r="O119" s="73">
        <f>IF([1]DADOS!H100="PP","X","")</f>
      </c>
      <c r="P119" s="73"/>
      <c r="Q119" s="73"/>
      <c r="R119" s="73"/>
      <c r="S119" s="79"/>
      <c r="T119" s="80"/>
      <c r="U119" s="78">
        <f>IF([1]DADOS!F100="","",[1]DADOS!F100)</f>
      </c>
      <c r="V119" s="81">
        <f>IF(C119="","",[1]DADOS!$D$8)</f>
      </c>
    </row>
    <row r="120" ht="21" customHeight="1" spans="2:22" x14ac:dyDescent="0.25">
      <c r="B120" s="73">
        <v>91</v>
      </c>
      <c r="C120" s="74">
        <f>IF([1]DADOS!D101="","",[1]DADOS!D101)</f>
      </c>
      <c r="D120" s="75"/>
      <c r="E120" s="76"/>
      <c r="F120" s="76"/>
      <c r="G120" s="77"/>
      <c r="H120" s="74"/>
      <c r="I120" s="78">
        <f>IF([1]DADOS!G101="","",[1]DADOS!G101)</f>
      </c>
      <c r="J120" s="73">
        <f>IF([1]DADOS!I101="MONOFÁSICO","X","")</f>
      </c>
      <c r="K120" s="73">
        <f>IF([1]DADOS!I101="BIFÁSICO","X","")</f>
      </c>
      <c r="L120" s="73">
        <f>IF([1]DADOS!I101="TRIFÁSICO","X","")</f>
      </c>
      <c r="M120" s="73">
        <f>IF([1]DADOS!H101="5M","X","")</f>
      </c>
      <c r="N120" s="73">
        <f>IF([1]DADOS!H101="7M","X","")</f>
      </c>
      <c r="O120" s="73">
        <f>IF([1]DADOS!H101="PP","X","")</f>
      </c>
      <c r="P120" s="73"/>
      <c r="Q120" s="73"/>
      <c r="R120" s="73"/>
      <c r="S120" s="79"/>
      <c r="T120" s="80"/>
      <c r="U120" s="78">
        <f>IF([1]DADOS!F101="","",[1]DADOS!F101)</f>
      </c>
      <c r="V120" s="81">
        <f>IF(C120="","",[1]DADOS!$D$8)</f>
      </c>
    </row>
    <row r="121" ht="21" customHeight="1" spans="2:22" x14ac:dyDescent="0.25">
      <c r="B121" s="73">
        <v>92</v>
      </c>
      <c r="C121" s="74">
        <f>IF([1]DADOS!D102="","",[1]DADOS!D102)</f>
      </c>
      <c r="D121" s="75"/>
      <c r="E121" s="76"/>
      <c r="F121" s="76"/>
      <c r="G121" s="77"/>
      <c r="H121" s="74"/>
      <c r="I121" s="78">
        <f>IF([1]DADOS!G102="","",[1]DADOS!G102)</f>
      </c>
      <c r="J121" s="73">
        <f>IF([1]DADOS!I102="MONOFÁSICO","X","")</f>
      </c>
      <c r="K121" s="73">
        <f>IF([1]DADOS!I102="BIFÁSICO","X","")</f>
      </c>
      <c r="L121" s="73">
        <f>IF([1]DADOS!I102="TRIFÁSICO","X","")</f>
      </c>
      <c r="M121" s="73">
        <f>IF([1]DADOS!H102="5M","X","")</f>
      </c>
      <c r="N121" s="73">
        <f>IF([1]DADOS!H102="7M","X","")</f>
      </c>
      <c r="O121" s="73">
        <f>IF([1]DADOS!H102="PP","X","")</f>
      </c>
      <c r="P121" s="73"/>
      <c r="Q121" s="73"/>
      <c r="R121" s="73"/>
      <c r="S121" s="79"/>
      <c r="T121" s="80"/>
      <c r="U121" s="78">
        <f>IF([1]DADOS!F102="","",[1]DADOS!F102)</f>
      </c>
      <c r="V121" s="81">
        <f>IF(C121="","",[1]DADOS!$D$8)</f>
      </c>
    </row>
    <row r="122" ht="21" customHeight="1" spans="2:22" x14ac:dyDescent="0.25">
      <c r="B122" s="73">
        <v>93</v>
      </c>
      <c r="C122" s="74">
        <f>IF([1]DADOS!D103="","",[1]DADOS!D103)</f>
      </c>
      <c r="D122" s="75"/>
      <c r="E122" s="76"/>
      <c r="F122" s="76"/>
      <c r="G122" s="77"/>
      <c r="H122" s="74"/>
      <c r="I122" s="78">
        <f>IF([1]DADOS!G103="","",[1]DADOS!G103)</f>
      </c>
      <c r="J122" s="73">
        <f>IF([1]DADOS!I103="MONOFÁSICO","X","")</f>
      </c>
      <c r="K122" s="73">
        <f>IF([1]DADOS!I103="BIFÁSICO","X","")</f>
      </c>
      <c r="L122" s="73">
        <f>IF([1]DADOS!I103="TRIFÁSICO","X","")</f>
      </c>
      <c r="M122" s="73">
        <f>IF([1]DADOS!H103="5M","X","")</f>
      </c>
      <c r="N122" s="73">
        <f>IF([1]DADOS!H103="7M","X","")</f>
      </c>
      <c r="O122" s="73">
        <f>IF([1]DADOS!H103="PP","X","")</f>
      </c>
      <c r="P122" s="73"/>
      <c r="Q122" s="73"/>
      <c r="R122" s="73"/>
      <c r="S122" s="79"/>
      <c r="T122" s="80"/>
      <c r="U122" s="78">
        <f>IF([1]DADOS!F103="","",[1]DADOS!F103)</f>
      </c>
      <c r="V122" s="81">
        <f>IF(C122="","",[1]DADOS!$D$8)</f>
      </c>
    </row>
    <row r="123" ht="21" customHeight="1" spans="2:22" x14ac:dyDescent="0.25">
      <c r="B123" s="73">
        <v>94</v>
      </c>
      <c r="C123" s="74">
        <f>IF([1]DADOS!D104="","",[1]DADOS!D104)</f>
      </c>
      <c r="D123" s="75"/>
      <c r="E123" s="76"/>
      <c r="F123" s="76"/>
      <c r="G123" s="77"/>
      <c r="H123" s="74"/>
      <c r="I123" s="78">
        <f>IF([1]DADOS!G104="","",[1]DADOS!G104)</f>
      </c>
      <c r="J123" s="73">
        <f>IF([1]DADOS!I104="MONOFÁSICO","X","")</f>
      </c>
      <c r="K123" s="73">
        <f>IF([1]DADOS!I104="BIFÁSICO","X","")</f>
      </c>
      <c r="L123" s="73">
        <f>IF([1]DADOS!I104="TRIFÁSICO","X","")</f>
      </c>
      <c r="M123" s="73">
        <f>IF([1]DADOS!H104="5M","X","")</f>
      </c>
      <c r="N123" s="73">
        <f>IF([1]DADOS!H104="7M","X","")</f>
      </c>
      <c r="O123" s="73">
        <f>IF([1]DADOS!H104="PP","X","")</f>
      </c>
      <c r="P123" s="73"/>
      <c r="Q123" s="73"/>
      <c r="R123" s="73"/>
      <c r="S123" s="79"/>
      <c r="T123" s="80"/>
      <c r="U123" s="78">
        <f>IF([1]DADOS!F104="","",[1]DADOS!F104)</f>
      </c>
      <c r="V123" s="81">
        <f>IF(C123="","",[1]DADOS!$D$8)</f>
      </c>
    </row>
    <row r="124" ht="21" customHeight="1" spans="2:22" x14ac:dyDescent="0.25">
      <c r="B124" s="73">
        <v>95</v>
      </c>
      <c r="C124" s="74">
        <f>IF([1]DADOS!D105="","",[1]DADOS!D105)</f>
      </c>
      <c r="D124" s="75"/>
      <c r="E124" s="76"/>
      <c r="F124" s="76"/>
      <c r="G124" s="77"/>
      <c r="H124" s="74"/>
      <c r="I124" s="78">
        <f>IF([1]DADOS!G105="","",[1]DADOS!G105)</f>
      </c>
      <c r="J124" s="73">
        <f>IF([1]DADOS!I105="MONOFÁSICO","X","")</f>
      </c>
      <c r="K124" s="73">
        <f>IF([1]DADOS!I105="BIFÁSICO","X","")</f>
      </c>
      <c r="L124" s="73">
        <f>IF([1]DADOS!I105="TRIFÁSICO","X","")</f>
      </c>
      <c r="M124" s="73">
        <f>IF([1]DADOS!H105="5M","X","")</f>
      </c>
      <c r="N124" s="73">
        <f>IF([1]DADOS!H105="7M","X","")</f>
      </c>
      <c r="O124" s="73">
        <f>IF([1]DADOS!H105="PP","X","")</f>
      </c>
      <c r="P124" s="73"/>
      <c r="Q124" s="73"/>
      <c r="R124" s="73"/>
      <c r="S124" s="79"/>
      <c r="T124" s="80"/>
      <c r="U124" s="78">
        <f>IF([1]DADOS!F105="","",[1]DADOS!F105)</f>
      </c>
      <c r="V124" s="81">
        <f>IF(C124="","",[1]DADOS!$D$8)</f>
      </c>
    </row>
    <row r="125" ht="21" customHeight="1" spans="2:22" x14ac:dyDescent="0.25">
      <c r="B125" s="73">
        <v>96</v>
      </c>
      <c r="C125" s="74">
        <f>IF([1]DADOS!D106="","",[1]DADOS!D106)</f>
      </c>
      <c r="D125" s="75"/>
      <c r="E125" s="76"/>
      <c r="F125" s="76"/>
      <c r="G125" s="77"/>
      <c r="H125" s="74"/>
      <c r="I125" s="78">
        <f>IF([1]DADOS!G106="","",[1]DADOS!G106)</f>
      </c>
      <c r="J125" s="73">
        <f>IF([1]DADOS!I106="MONOFÁSICO","X","")</f>
      </c>
      <c r="K125" s="73">
        <f>IF([1]DADOS!I106="BIFÁSICO","X","")</f>
      </c>
      <c r="L125" s="73">
        <f>IF([1]DADOS!I106="TRIFÁSICO","X","")</f>
      </c>
      <c r="M125" s="73">
        <f>IF([1]DADOS!H106="5M","X","")</f>
      </c>
      <c r="N125" s="73">
        <f>IF([1]DADOS!H106="7M","X","")</f>
      </c>
      <c r="O125" s="73">
        <f>IF([1]DADOS!H106="PP","X","")</f>
      </c>
      <c r="P125" s="73"/>
      <c r="Q125" s="73"/>
      <c r="R125" s="73"/>
      <c r="S125" s="79"/>
      <c r="T125" s="80"/>
      <c r="U125" s="78">
        <f>IF([1]DADOS!F106="","",[1]DADOS!F106)</f>
      </c>
      <c r="V125" s="81">
        <f>IF(C125="","",[1]DADOS!$D$8)</f>
      </c>
    </row>
    <row r="126" ht="21" customHeight="1" spans="2:22" x14ac:dyDescent="0.25">
      <c r="B126" s="73">
        <v>97</v>
      </c>
      <c r="C126" s="74">
        <f>IF([1]DADOS!D107="","",[1]DADOS!D107)</f>
      </c>
      <c r="D126" s="75"/>
      <c r="E126" s="76"/>
      <c r="F126" s="76"/>
      <c r="G126" s="77"/>
      <c r="H126" s="74"/>
      <c r="I126" s="78">
        <f>IF([1]DADOS!G107="","",[1]DADOS!G107)</f>
      </c>
      <c r="J126" s="73">
        <f>IF([1]DADOS!I107="MONOFÁSICO","X","")</f>
      </c>
      <c r="K126" s="73">
        <f>IF([1]DADOS!I107="BIFÁSICO","X","")</f>
      </c>
      <c r="L126" s="73">
        <f>IF([1]DADOS!I107="TRIFÁSICO","X","")</f>
      </c>
      <c r="M126" s="73">
        <f>IF([1]DADOS!H107="5M","X","")</f>
      </c>
      <c r="N126" s="73">
        <f>IF([1]DADOS!H107="7M","X","")</f>
      </c>
      <c r="O126" s="73">
        <f>IF([1]DADOS!H107="PP","X","")</f>
      </c>
      <c r="P126" s="73"/>
      <c r="Q126" s="73"/>
      <c r="R126" s="73"/>
      <c r="S126" s="79"/>
      <c r="T126" s="80"/>
      <c r="U126" s="78">
        <f>IF([1]DADOS!F107="","",[1]DADOS!F107)</f>
      </c>
      <c r="V126" s="81">
        <f>IF(C126="","",[1]DADOS!$D$8)</f>
      </c>
    </row>
    <row r="127" ht="21" customHeight="1" spans="2:22" x14ac:dyDescent="0.25">
      <c r="B127" s="73">
        <v>98</v>
      </c>
      <c r="C127" s="74">
        <f>IF([1]DADOS!D108="","",[1]DADOS!D108)</f>
      </c>
      <c r="D127" s="75"/>
      <c r="E127" s="76"/>
      <c r="F127" s="76"/>
      <c r="G127" s="77"/>
      <c r="H127" s="74"/>
      <c r="I127" s="78">
        <f>IF([1]DADOS!G108="","",[1]DADOS!G108)</f>
      </c>
      <c r="J127" s="73">
        <f>IF([1]DADOS!I108="MONOFÁSICO","X","")</f>
      </c>
      <c r="K127" s="73">
        <f>IF([1]DADOS!I108="BIFÁSICO","X","")</f>
      </c>
      <c r="L127" s="73">
        <f>IF([1]DADOS!I108="TRIFÁSICO","X","")</f>
      </c>
      <c r="M127" s="73">
        <f>IF([1]DADOS!H108="5M","X","")</f>
      </c>
      <c r="N127" s="73">
        <f>IF([1]DADOS!H108="7M","X","")</f>
      </c>
      <c r="O127" s="73">
        <f>IF([1]DADOS!H108="PP","X","")</f>
      </c>
      <c r="P127" s="73"/>
      <c r="Q127" s="73"/>
      <c r="R127" s="73"/>
      <c r="S127" s="79"/>
      <c r="T127" s="80"/>
      <c r="U127" s="78">
        <f>IF([1]DADOS!F108="","",[1]DADOS!F108)</f>
      </c>
      <c r="V127" s="81">
        <f>IF(C127="","",[1]DADOS!$D$8)</f>
      </c>
    </row>
    <row r="128" ht="21" customHeight="1" spans="2:22" x14ac:dyDescent="0.25">
      <c r="B128" s="73">
        <v>99</v>
      </c>
      <c r="C128" s="74">
        <f>IF([1]DADOS!D109="","",[1]DADOS!D109)</f>
      </c>
      <c r="D128" s="75"/>
      <c r="E128" s="76"/>
      <c r="F128" s="76"/>
      <c r="G128" s="77"/>
      <c r="H128" s="74"/>
      <c r="I128" s="78">
        <f>IF([1]DADOS!G109="","",[1]DADOS!G109)</f>
      </c>
      <c r="J128" s="73">
        <f>IF([1]DADOS!I109="MONOFÁSICO","X","")</f>
      </c>
      <c r="K128" s="73">
        <f>IF([1]DADOS!I109="BIFÁSICO","X","")</f>
      </c>
      <c r="L128" s="73">
        <f>IF([1]DADOS!I109="TRIFÁSICO","X","")</f>
      </c>
      <c r="M128" s="73">
        <f>IF([1]DADOS!H109="5M","X","")</f>
      </c>
      <c r="N128" s="73">
        <f>IF([1]DADOS!H109="7M","X","")</f>
      </c>
      <c r="O128" s="73">
        <f>IF([1]DADOS!H109="PP","X","")</f>
      </c>
      <c r="P128" s="73"/>
      <c r="Q128" s="73"/>
      <c r="R128" s="73"/>
      <c r="S128" s="79"/>
      <c r="T128" s="80"/>
      <c r="U128" s="78">
        <f>IF([1]DADOS!F109="","",[1]DADOS!F109)</f>
      </c>
      <c r="V128" s="81">
        <f>IF(C128="","",[1]DADOS!$D$8)</f>
      </c>
    </row>
    <row r="129" ht="21" customHeight="1" spans="2:22" x14ac:dyDescent="0.25">
      <c r="B129" s="73">
        <v>100</v>
      </c>
      <c r="C129" s="74">
        <f>IF([1]DADOS!D110="","",[1]DADOS!D110)</f>
      </c>
      <c r="D129" s="75"/>
      <c r="E129" s="76"/>
      <c r="F129" s="76"/>
      <c r="G129" s="77"/>
      <c r="H129" s="74"/>
      <c r="I129" s="78">
        <f>IF([1]DADOS!G110="","",[1]DADOS!G110)</f>
      </c>
      <c r="J129" s="73">
        <f>IF([1]DADOS!I110="MONOFÁSICO","X","")</f>
      </c>
      <c r="K129" s="73">
        <f>IF([1]DADOS!I110="BIFÁSICO","X","")</f>
      </c>
      <c r="L129" s="73">
        <f>IF([1]DADOS!I110="TRIFÁSICO","X","")</f>
      </c>
      <c r="M129" s="73">
        <f>IF([1]DADOS!H110="5M","X","")</f>
      </c>
      <c r="N129" s="73">
        <f>IF([1]DADOS!H110="7M","X","")</f>
      </c>
      <c r="O129" s="73">
        <f>IF([1]DADOS!H110="PP","X","")</f>
      </c>
      <c r="P129" s="73"/>
      <c r="Q129" s="73"/>
      <c r="R129" s="73"/>
      <c r="S129" s="79"/>
      <c r="T129" s="80"/>
      <c r="U129" s="78">
        <f>IF([1]DADOS!F110="","",[1]DADOS!F110)</f>
      </c>
      <c r="V129" s="81">
        <f>IF(C129="","",[1]DADOS!$D$8)</f>
      </c>
    </row>
    <row r="130" ht="21" customHeight="1" spans="2:22" x14ac:dyDescent="0.25">
      <c r="B130" s="73">
        <v>101</v>
      </c>
      <c r="C130" s="74">
        <f>IF([1]DADOS!D111="","",[1]DADOS!D111)</f>
      </c>
      <c r="D130" s="75"/>
      <c r="E130" s="76"/>
      <c r="F130" s="76"/>
      <c r="G130" s="77"/>
      <c r="H130" s="74"/>
      <c r="I130" s="78">
        <f>IF([1]DADOS!G111="","",[1]DADOS!G111)</f>
      </c>
      <c r="J130" s="73">
        <f>IF([1]DADOS!I111="MONOFÁSICO","X","")</f>
      </c>
      <c r="K130" s="73">
        <f>IF([1]DADOS!I111="BIFÁSICO","X","")</f>
      </c>
      <c r="L130" s="73">
        <f>IF([1]DADOS!I111="TRIFÁSICO","X","")</f>
      </c>
      <c r="M130" s="73">
        <f>IF([1]DADOS!H111="5M","X","")</f>
      </c>
      <c r="N130" s="73">
        <f>IF([1]DADOS!H111="7M","X","")</f>
      </c>
      <c r="O130" s="73">
        <f>IF([1]DADOS!H111="PP","X","")</f>
      </c>
      <c r="P130" s="73"/>
      <c r="Q130" s="73"/>
      <c r="R130" s="73"/>
      <c r="S130" s="79"/>
      <c r="T130" s="80"/>
      <c r="U130" s="78">
        <f>IF([1]DADOS!F111="","",[1]DADOS!F111)</f>
      </c>
      <c r="V130" s="81">
        <f>IF(C130="","",[1]DADOS!$D$8)</f>
      </c>
    </row>
    <row r="131" ht="21" customHeight="1" spans="2:22" x14ac:dyDescent="0.25">
      <c r="B131" s="73">
        <v>102</v>
      </c>
      <c r="C131" s="74">
        <f>IF([1]DADOS!D112="","",[1]DADOS!D112)</f>
      </c>
      <c r="D131" s="75"/>
      <c r="E131" s="76"/>
      <c r="F131" s="76"/>
      <c r="G131" s="77"/>
      <c r="H131" s="74"/>
      <c r="I131" s="78">
        <f>IF([1]DADOS!G112="","",[1]DADOS!G112)</f>
      </c>
      <c r="J131" s="73">
        <f>IF([1]DADOS!I112="MONOFÁSICO","X","")</f>
      </c>
      <c r="K131" s="73">
        <f>IF([1]DADOS!I112="BIFÁSICO","X","")</f>
      </c>
      <c r="L131" s="73">
        <f>IF([1]DADOS!I112="TRIFÁSICO","X","")</f>
      </c>
      <c r="M131" s="73">
        <f>IF([1]DADOS!H112="5M","X","")</f>
      </c>
      <c r="N131" s="73">
        <f>IF([1]DADOS!H112="7M","X","")</f>
      </c>
      <c r="O131" s="73">
        <f>IF([1]DADOS!H112="PP","X","")</f>
      </c>
      <c r="P131" s="73"/>
      <c r="Q131" s="73"/>
      <c r="R131" s="73"/>
      <c r="S131" s="79"/>
      <c r="T131" s="80"/>
      <c r="U131" s="78">
        <f>IF([1]DADOS!F112="","",[1]DADOS!F112)</f>
      </c>
      <c r="V131" s="81">
        <f>IF(C131="","",[1]DADOS!$D$8)</f>
      </c>
    </row>
    <row r="132" ht="21" customHeight="1" spans="2:22" x14ac:dyDescent="0.25">
      <c r="B132" s="73">
        <v>103</v>
      </c>
      <c r="C132" s="74">
        <f>IF([1]DADOS!D113="","",[1]DADOS!D113)</f>
      </c>
      <c r="D132" s="75"/>
      <c r="E132" s="76"/>
      <c r="F132" s="76"/>
      <c r="G132" s="77"/>
      <c r="H132" s="74"/>
      <c r="I132" s="78">
        <f>IF([1]DADOS!G113="","",[1]DADOS!G113)</f>
      </c>
      <c r="J132" s="73">
        <f>IF([1]DADOS!I113="MONOFÁSICO","X","")</f>
      </c>
      <c r="K132" s="73">
        <f>IF([1]DADOS!I113="BIFÁSICO","X","")</f>
      </c>
      <c r="L132" s="73">
        <f>IF([1]DADOS!I113="TRIFÁSICO","X","")</f>
      </c>
      <c r="M132" s="73">
        <f>IF([1]DADOS!H113="5M","X","")</f>
      </c>
      <c r="N132" s="73">
        <f>IF([1]DADOS!H113="7M","X","")</f>
      </c>
      <c r="O132" s="73">
        <f>IF([1]DADOS!H113="PP","X","")</f>
      </c>
      <c r="P132" s="73"/>
      <c r="Q132" s="73"/>
      <c r="R132" s="73"/>
      <c r="S132" s="79"/>
      <c r="T132" s="80"/>
      <c r="U132" s="78">
        <f>IF([1]DADOS!F113="","",[1]DADOS!F113)</f>
      </c>
      <c r="V132" s="81">
        <f>IF(C132="","",[1]DADOS!$D$8)</f>
      </c>
    </row>
    <row r="133" ht="21" customHeight="1" spans="2:22" x14ac:dyDescent="0.25">
      <c r="B133" s="73">
        <v>104</v>
      </c>
      <c r="C133" s="74">
        <f>IF([1]DADOS!D114="","",[1]DADOS!D114)</f>
      </c>
      <c r="D133" s="75"/>
      <c r="E133" s="76"/>
      <c r="F133" s="76"/>
      <c r="G133" s="77"/>
      <c r="H133" s="74"/>
      <c r="I133" s="78">
        <f>IF([1]DADOS!G114="","",[1]DADOS!G114)</f>
      </c>
      <c r="J133" s="73">
        <f>IF([1]DADOS!I114="MONOFÁSICO","X","")</f>
      </c>
      <c r="K133" s="73">
        <f>IF([1]DADOS!I114="BIFÁSICO","X","")</f>
      </c>
      <c r="L133" s="73">
        <f>IF([1]DADOS!I114="TRIFÁSICO","X","")</f>
      </c>
      <c r="M133" s="73">
        <f>IF([1]DADOS!H114="5M","X","")</f>
      </c>
      <c r="N133" s="73">
        <f>IF([1]DADOS!H114="7M","X","")</f>
      </c>
      <c r="O133" s="73">
        <f>IF([1]DADOS!H114="PP","X","")</f>
      </c>
      <c r="P133" s="73"/>
      <c r="Q133" s="73"/>
      <c r="R133" s="73"/>
      <c r="S133" s="79"/>
      <c r="T133" s="80"/>
      <c r="U133" s="78">
        <f>IF([1]DADOS!F114="","",[1]DADOS!F114)</f>
      </c>
      <c r="V133" s="81">
        <f>IF(C133="","",[1]DADOS!$D$8)</f>
      </c>
    </row>
    <row r="134" ht="21" customHeight="1" spans="2:22" x14ac:dyDescent="0.25">
      <c r="B134" s="73">
        <v>105</v>
      </c>
      <c r="C134" s="74">
        <f>IF([1]DADOS!D115="","",[1]DADOS!D115)</f>
      </c>
      <c r="D134" s="75"/>
      <c r="E134" s="76"/>
      <c r="F134" s="76"/>
      <c r="G134" s="77"/>
      <c r="H134" s="74"/>
      <c r="I134" s="78">
        <f>IF([1]DADOS!G115="","",[1]DADOS!G115)</f>
      </c>
      <c r="J134" s="73">
        <f>IF([1]DADOS!I115="MONOFÁSICO","X","")</f>
      </c>
      <c r="K134" s="73">
        <f>IF([1]DADOS!I115="BIFÁSICO","X","")</f>
      </c>
      <c r="L134" s="73">
        <f>IF([1]DADOS!I115="TRIFÁSICO","X","")</f>
      </c>
      <c r="M134" s="73">
        <f>IF([1]DADOS!H115="5M","X","")</f>
      </c>
      <c r="N134" s="73">
        <f>IF([1]DADOS!H115="7M","X","")</f>
      </c>
      <c r="O134" s="73">
        <f>IF([1]DADOS!H115="PP","X","")</f>
      </c>
      <c r="P134" s="73"/>
      <c r="Q134" s="73"/>
      <c r="R134" s="73"/>
      <c r="S134" s="79"/>
      <c r="T134" s="80"/>
      <c r="U134" s="78">
        <f>IF([1]DADOS!F115="","",[1]DADOS!F115)</f>
      </c>
      <c r="V134" s="81">
        <f>IF(C134="","",[1]DADOS!$D$8)</f>
      </c>
    </row>
    <row r="135" ht="21" customHeight="1" spans="2:22" x14ac:dyDescent="0.25">
      <c r="B135" s="73">
        <v>106</v>
      </c>
      <c r="C135" s="74">
        <f>IF([1]DADOS!D116="","",[1]DADOS!D116)</f>
      </c>
      <c r="D135" s="75"/>
      <c r="E135" s="76"/>
      <c r="F135" s="76"/>
      <c r="G135" s="77"/>
      <c r="H135" s="74"/>
      <c r="I135" s="78">
        <f>IF([1]DADOS!G116="","",[1]DADOS!G116)</f>
      </c>
      <c r="J135" s="73">
        <f>IF([1]DADOS!I116="MONOFÁSICO","X","")</f>
      </c>
      <c r="K135" s="73">
        <f>IF([1]DADOS!I116="BIFÁSICO","X","")</f>
      </c>
      <c r="L135" s="73">
        <f>IF([1]DADOS!I116="TRIFÁSICO","X","")</f>
      </c>
      <c r="M135" s="73">
        <f>IF([1]DADOS!H116="5M","X","")</f>
      </c>
      <c r="N135" s="73">
        <f>IF([1]DADOS!H116="7M","X","")</f>
      </c>
      <c r="O135" s="73">
        <f>IF([1]DADOS!H116="PP","X","")</f>
      </c>
      <c r="P135" s="73"/>
      <c r="Q135" s="73"/>
      <c r="R135" s="73"/>
      <c r="S135" s="79"/>
      <c r="T135" s="80"/>
      <c r="U135" s="78">
        <f>IF([1]DADOS!F116="","",[1]DADOS!F116)</f>
      </c>
      <c r="V135" s="81">
        <f>IF(C135="","",[1]DADOS!$D$8)</f>
      </c>
    </row>
    <row r="136" ht="21" customHeight="1" spans="2:22" x14ac:dyDescent="0.25">
      <c r="B136" s="73">
        <v>107</v>
      </c>
      <c r="C136" s="74">
        <f>IF([1]DADOS!D117="","",[1]DADOS!D117)</f>
      </c>
      <c r="D136" s="75"/>
      <c r="E136" s="76"/>
      <c r="F136" s="76"/>
      <c r="G136" s="77"/>
      <c r="H136" s="74"/>
      <c r="I136" s="78">
        <f>IF([1]DADOS!G117="","",[1]DADOS!G117)</f>
      </c>
      <c r="J136" s="73">
        <f>IF([1]DADOS!I117="MONOFÁSICO","X","")</f>
      </c>
      <c r="K136" s="73">
        <f>IF([1]DADOS!I117="BIFÁSICO","X","")</f>
      </c>
      <c r="L136" s="73">
        <f>IF([1]DADOS!I117="TRIFÁSICO","X","")</f>
      </c>
      <c r="M136" s="73">
        <f>IF([1]DADOS!H117="5M","X","")</f>
      </c>
      <c r="N136" s="73">
        <f>IF([1]DADOS!H117="7M","X","")</f>
      </c>
      <c r="O136" s="73">
        <f>IF([1]DADOS!H117="PP","X","")</f>
      </c>
      <c r="P136" s="73"/>
      <c r="Q136" s="73"/>
      <c r="R136" s="73"/>
      <c r="S136" s="79"/>
      <c r="T136" s="80"/>
      <c r="U136" s="78">
        <f>IF([1]DADOS!F117="","",[1]DADOS!F117)</f>
      </c>
      <c r="V136" s="81">
        <f>IF(C136="","",[1]DADOS!$D$8)</f>
      </c>
    </row>
    <row r="137" ht="21" customHeight="1" spans="2:22" x14ac:dyDescent="0.25">
      <c r="B137" s="73">
        <v>108</v>
      </c>
      <c r="C137" s="74">
        <f>IF([1]DADOS!D118="","",[1]DADOS!D118)</f>
      </c>
      <c r="D137" s="75"/>
      <c r="E137" s="76"/>
      <c r="F137" s="76"/>
      <c r="G137" s="77"/>
      <c r="H137" s="74"/>
      <c r="I137" s="78">
        <f>IF([1]DADOS!G118="","",[1]DADOS!G118)</f>
      </c>
      <c r="J137" s="73">
        <f>IF([1]DADOS!I118="MONOFÁSICO","X","")</f>
      </c>
      <c r="K137" s="73">
        <f>IF([1]DADOS!I118="BIFÁSICO","X","")</f>
      </c>
      <c r="L137" s="73">
        <f>IF([1]DADOS!I118="TRIFÁSICO","X","")</f>
      </c>
      <c r="M137" s="73">
        <f>IF([1]DADOS!H118="5M","X","")</f>
      </c>
      <c r="N137" s="73">
        <f>IF([1]DADOS!H118="7M","X","")</f>
      </c>
      <c r="O137" s="73">
        <f>IF([1]DADOS!H118="PP","X","")</f>
      </c>
      <c r="P137" s="73"/>
      <c r="Q137" s="73"/>
      <c r="R137" s="73"/>
      <c r="S137" s="79"/>
      <c r="T137" s="80"/>
      <c r="U137" s="78">
        <f>IF([1]DADOS!F118="","",[1]DADOS!F118)</f>
      </c>
      <c r="V137" s="81">
        <f>IF(C137="","",[1]DADOS!$D$8)</f>
      </c>
    </row>
    <row r="138" ht="21" customHeight="1" spans="2:22" x14ac:dyDescent="0.25">
      <c r="B138" s="73">
        <v>109</v>
      </c>
      <c r="C138" s="74">
        <f>IF([1]DADOS!D119="","",[1]DADOS!D119)</f>
      </c>
      <c r="D138" s="75"/>
      <c r="E138" s="76"/>
      <c r="F138" s="76"/>
      <c r="G138" s="77"/>
      <c r="H138" s="74"/>
      <c r="I138" s="78">
        <f>IF([1]DADOS!G119="","",[1]DADOS!G119)</f>
      </c>
      <c r="J138" s="73">
        <f>IF([1]DADOS!I119="MONOFÁSICO","X","")</f>
      </c>
      <c r="K138" s="73">
        <f>IF([1]DADOS!I119="BIFÁSICO","X","")</f>
      </c>
      <c r="L138" s="73">
        <f>IF([1]DADOS!I119="TRIFÁSICO","X","")</f>
      </c>
      <c r="M138" s="73">
        <f>IF([1]DADOS!H119="5M","X","")</f>
      </c>
      <c r="N138" s="73">
        <f>IF([1]DADOS!H119="7M","X","")</f>
      </c>
      <c r="O138" s="73">
        <f>IF([1]DADOS!H119="PP","X","")</f>
      </c>
      <c r="P138" s="73"/>
      <c r="Q138" s="73"/>
      <c r="R138" s="73"/>
      <c r="S138" s="79"/>
      <c r="T138" s="80"/>
      <c r="U138" s="78">
        <f>IF([1]DADOS!F119="","",[1]DADOS!F119)</f>
      </c>
      <c r="V138" s="81">
        <f>IF(C138="","",[1]DADOS!$D$8)</f>
      </c>
    </row>
    <row r="139" ht="21" customHeight="1" spans="2:22" x14ac:dyDescent="0.25">
      <c r="B139" s="73">
        <v>110</v>
      </c>
      <c r="C139" s="74">
        <f>IF([1]DADOS!D120="","",[1]DADOS!D120)</f>
      </c>
      <c r="D139" s="75"/>
      <c r="E139" s="76"/>
      <c r="F139" s="76"/>
      <c r="G139" s="77"/>
      <c r="H139" s="74"/>
      <c r="I139" s="78">
        <f>IF([1]DADOS!G120="","",[1]DADOS!G120)</f>
      </c>
      <c r="J139" s="73">
        <f>IF([1]DADOS!I120="MONOFÁSICO","X","")</f>
      </c>
      <c r="K139" s="73">
        <f>IF([1]DADOS!I120="BIFÁSICO","X","")</f>
      </c>
      <c r="L139" s="73">
        <f>IF([1]DADOS!I120="TRIFÁSICO","X","")</f>
      </c>
      <c r="M139" s="73">
        <f>IF([1]DADOS!H120="5M","X","")</f>
      </c>
      <c r="N139" s="73">
        <f>IF([1]DADOS!H120="7M","X","")</f>
      </c>
      <c r="O139" s="73">
        <f>IF([1]DADOS!H120="PP","X","")</f>
      </c>
      <c r="P139" s="73"/>
      <c r="Q139" s="73"/>
      <c r="R139" s="73"/>
      <c r="S139" s="79"/>
      <c r="T139" s="80"/>
      <c r="U139" s="78">
        <f>IF([1]DADOS!F120="","",[1]DADOS!F120)</f>
      </c>
      <c r="V139" s="81">
        <f>IF(C139="","",[1]DADOS!$D$8)</f>
      </c>
    </row>
    <row r="140" ht="21" customHeight="1" spans="2:22" x14ac:dyDescent="0.25">
      <c r="B140" s="73">
        <v>111</v>
      </c>
      <c r="C140" s="74">
        <f>IF([1]DADOS!D121="","",[1]DADOS!D121)</f>
      </c>
      <c r="D140" s="75"/>
      <c r="E140" s="76"/>
      <c r="F140" s="76"/>
      <c r="G140" s="77"/>
      <c r="H140" s="74"/>
      <c r="I140" s="78">
        <f>IF([1]DADOS!G121="","",[1]DADOS!G121)</f>
      </c>
      <c r="J140" s="73">
        <f>IF([1]DADOS!I121="MONOFÁSICO","X","")</f>
      </c>
      <c r="K140" s="73">
        <f>IF([1]DADOS!I121="BIFÁSICO","X","")</f>
      </c>
      <c r="L140" s="73">
        <f>IF([1]DADOS!I121="TRIFÁSICO","X","")</f>
      </c>
      <c r="M140" s="73">
        <f>IF([1]DADOS!H121="5M","X","")</f>
      </c>
      <c r="N140" s="73">
        <f>IF([1]DADOS!H121="7M","X","")</f>
      </c>
      <c r="O140" s="73">
        <f>IF([1]DADOS!H121="PP","X","")</f>
      </c>
      <c r="P140" s="73"/>
      <c r="Q140" s="73"/>
      <c r="R140" s="73"/>
      <c r="S140" s="79"/>
      <c r="T140" s="80"/>
      <c r="U140" s="78">
        <f>IF([1]DADOS!F121="","",[1]DADOS!F121)</f>
      </c>
      <c r="V140" s="81">
        <f>IF(C140="","",[1]DADOS!$D$8)</f>
      </c>
    </row>
    <row r="141" ht="21" customHeight="1" spans="2:22" x14ac:dyDescent="0.25">
      <c r="B141" s="73">
        <v>112</v>
      </c>
      <c r="C141" s="74">
        <f>IF([1]DADOS!D122="","",[1]DADOS!D122)</f>
      </c>
      <c r="D141" s="75"/>
      <c r="E141" s="76"/>
      <c r="F141" s="76"/>
      <c r="G141" s="77"/>
      <c r="H141" s="74"/>
      <c r="I141" s="78">
        <f>IF([1]DADOS!G122="","",[1]DADOS!G122)</f>
      </c>
      <c r="J141" s="73">
        <f>IF([1]DADOS!I122="MONOFÁSICO","X","")</f>
      </c>
      <c r="K141" s="73">
        <f>IF([1]DADOS!I122="BIFÁSICO","X","")</f>
      </c>
      <c r="L141" s="73">
        <f>IF([1]DADOS!I122="TRIFÁSICO","X","")</f>
      </c>
      <c r="M141" s="73">
        <f>IF([1]DADOS!H122="5M","X","")</f>
      </c>
      <c r="N141" s="73">
        <f>IF([1]DADOS!H122="7M","X","")</f>
      </c>
      <c r="O141" s="73">
        <f>IF([1]DADOS!H122="PP","X","")</f>
      </c>
      <c r="P141" s="73"/>
      <c r="Q141" s="73"/>
      <c r="R141" s="73"/>
      <c r="S141" s="79"/>
      <c r="T141" s="80"/>
      <c r="U141" s="78">
        <f>IF([1]DADOS!F122="","",[1]DADOS!F122)</f>
      </c>
      <c r="V141" s="81">
        <f>IF(C141="","",[1]DADOS!$D$8)</f>
      </c>
    </row>
    <row r="142" ht="21" customHeight="1" spans="2:22" x14ac:dyDescent="0.25">
      <c r="B142" s="73">
        <v>113</v>
      </c>
      <c r="C142" s="74">
        <f>IF([1]DADOS!D123="","",[1]DADOS!D123)</f>
      </c>
      <c r="D142" s="75"/>
      <c r="E142" s="76"/>
      <c r="F142" s="76"/>
      <c r="G142" s="77"/>
      <c r="H142" s="74"/>
      <c r="I142" s="78">
        <f>IF([1]DADOS!G123="","",[1]DADOS!G123)</f>
      </c>
      <c r="J142" s="73">
        <f>IF([1]DADOS!I123="MONOFÁSICO","X","")</f>
      </c>
      <c r="K142" s="73">
        <f>IF([1]DADOS!I123="BIFÁSICO","X","")</f>
      </c>
      <c r="L142" s="73">
        <f>IF([1]DADOS!I123="TRIFÁSICO","X","")</f>
      </c>
      <c r="M142" s="73">
        <f>IF([1]DADOS!H123="5M","X","")</f>
      </c>
      <c r="N142" s="73">
        <f>IF([1]DADOS!H123="7M","X","")</f>
      </c>
      <c r="O142" s="73">
        <f>IF([1]DADOS!H123="PP","X","")</f>
      </c>
      <c r="P142" s="73"/>
      <c r="Q142" s="73"/>
      <c r="R142" s="73"/>
      <c r="S142" s="79"/>
      <c r="T142" s="80"/>
      <c r="U142" s="78">
        <f>IF([1]DADOS!F123="","",[1]DADOS!F123)</f>
      </c>
      <c r="V142" s="81">
        <f>IF(C142="","",[1]DADOS!$D$8)</f>
      </c>
    </row>
    <row r="143" ht="21" customHeight="1" spans="2:22" x14ac:dyDescent="0.25">
      <c r="B143" s="73">
        <v>114</v>
      </c>
      <c r="C143" s="74">
        <f>IF([1]DADOS!D124="","",[1]DADOS!D124)</f>
      </c>
      <c r="D143" s="75"/>
      <c r="E143" s="76"/>
      <c r="F143" s="76"/>
      <c r="G143" s="77"/>
      <c r="H143" s="74"/>
      <c r="I143" s="78">
        <f>IF([1]DADOS!G124="","",[1]DADOS!G124)</f>
      </c>
      <c r="J143" s="73">
        <f>IF([1]DADOS!I124="MONOFÁSICO","X","")</f>
      </c>
      <c r="K143" s="73">
        <f>IF([1]DADOS!I124="BIFÁSICO","X","")</f>
      </c>
      <c r="L143" s="73">
        <f>IF([1]DADOS!I124="TRIFÁSICO","X","")</f>
      </c>
      <c r="M143" s="73">
        <f>IF([1]DADOS!H124="5M","X","")</f>
      </c>
      <c r="N143" s="73">
        <f>IF([1]DADOS!H124="7M","X","")</f>
      </c>
      <c r="O143" s="73">
        <f>IF([1]DADOS!H124="PP","X","")</f>
      </c>
      <c r="P143" s="73"/>
      <c r="Q143" s="73"/>
      <c r="R143" s="73"/>
      <c r="S143" s="79"/>
      <c r="T143" s="80"/>
      <c r="U143" s="78">
        <f>IF([1]DADOS!F124="","",[1]DADOS!F124)</f>
      </c>
      <c r="V143" s="81">
        <f>IF(C143="","",[1]DADOS!$D$8)</f>
      </c>
    </row>
    <row r="144" ht="21" customHeight="1" spans="2:22" x14ac:dyDescent="0.25">
      <c r="B144" s="73">
        <v>115</v>
      </c>
      <c r="C144" s="74">
        <f>IF([1]DADOS!D125="","",[1]DADOS!D125)</f>
      </c>
      <c r="D144" s="75"/>
      <c r="E144" s="76"/>
      <c r="F144" s="76"/>
      <c r="G144" s="77"/>
      <c r="H144" s="74"/>
      <c r="I144" s="78">
        <f>IF([1]DADOS!G125="","",[1]DADOS!G125)</f>
      </c>
      <c r="J144" s="73">
        <f>IF([1]DADOS!I125="MONOFÁSICO","X","")</f>
      </c>
      <c r="K144" s="73">
        <f>IF([1]DADOS!I125="BIFÁSICO","X","")</f>
      </c>
      <c r="L144" s="73">
        <f>IF([1]DADOS!I125="TRIFÁSICO","X","")</f>
      </c>
      <c r="M144" s="73">
        <f>IF([1]DADOS!H125="5M","X","")</f>
      </c>
      <c r="N144" s="73">
        <f>IF([1]DADOS!H125="7M","X","")</f>
      </c>
      <c r="O144" s="73">
        <f>IF([1]DADOS!H125="PP","X","")</f>
      </c>
      <c r="P144" s="73"/>
      <c r="Q144" s="73"/>
      <c r="R144" s="73"/>
      <c r="S144" s="79"/>
      <c r="T144" s="80"/>
      <c r="U144" s="78">
        <f>IF([1]DADOS!F125="","",[1]DADOS!F125)</f>
      </c>
      <c r="V144" s="81">
        <f>IF(C144="","",[1]DADOS!$D$8)</f>
      </c>
    </row>
    <row r="145" ht="21" customHeight="1" spans="2:22" x14ac:dyDescent="0.25">
      <c r="B145" s="73">
        <v>116</v>
      </c>
      <c r="C145" s="74">
        <f>IF([1]DADOS!D126="","",[1]DADOS!D126)</f>
      </c>
      <c r="D145" s="75"/>
      <c r="E145" s="76"/>
      <c r="F145" s="76"/>
      <c r="G145" s="77"/>
      <c r="H145" s="74"/>
      <c r="I145" s="78">
        <f>IF([1]DADOS!G126="","",[1]DADOS!G126)</f>
      </c>
      <c r="J145" s="73">
        <f>IF([1]DADOS!I126="MONOFÁSICO","X","")</f>
      </c>
      <c r="K145" s="73">
        <f>IF([1]DADOS!I126="BIFÁSICO","X","")</f>
      </c>
      <c r="L145" s="73">
        <f>IF([1]DADOS!I126="TRIFÁSICO","X","")</f>
      </c>
      <c r="M145" s="73">
        <f>IF([1]DADOS!H126="5M","X","")</f>
      </c>
      <c r="N145" s="73">
        <f>IF([1]DADOS!H126="7M","X","")</f>
      </c>
      <c r="O145" s="73">
        <f>IF([1]DADOS!H126="PP","X","")</f>
      </c>
      <c r="P145" s="73"/>
      <c r="Q145" s="73"/>
      <c r="R145" s="73"/>
      <c r="S145" s="79"/>
      <c r="T145" s="80"/>
      <c r="U145" s="78">
        <f>IF([1]DADOS!F126="","",[1]DADOS!F126)</f>
      </c>
      <c r="V145" s="81">
        <f>IF(C145="","",[1]DADOS!$D$8)</f>
      </c>
    </row>
    <row r="146" ht="21" customHeight="1" spans="2:22" x14ac:dyDescent="0.25">
      <c r="B146" s="73">
        <v>117</v>
      </c>
      <c r="C146" s="74">
        <f>IF([1]DADOS!D127="","",[1]DADOS!D127)</f>
      </c>
      <c r="D146" s="75"/>
      <c r="E146" s="76"/>
      <c r="F146" s="76"/>
      <c r="G146" s="77"/>
      <c r="H146" s="74"/>
      <c r="I146" s="78">
        <f>IF([1]DADOS!G127="","",[1]DADOS!G127)</f>
      </c>
      <c r="J146" s="73">
        <f>IF([1]DADOS!I127="MONOFÁSICO","X","")</f>
      </c>
      <c r="K146" s="73">
        <f>IF([1]DADOS!I127="BIFÁSICO","X","")</f>
      </c>
      <c r="L146" s="73">
        <f>IF([1]DADOS!I127="TRIFÁSICO","X","")</f>
      </c>
      <c r="M146" s="73">
        <f>IF([1]DADOS!H127="5M","X","")</f>
      </c>
      <c r="N146" s="73">
        <f>IF([1]DADOS!H127="7M","X","")</f>
      </c>
      <c r="O146" s="73">
        <f>IF([1]DADOS!H127="PP","X","")</f>
      </c>
      <c r="P146" s="73"/>
      <c r="Q146" s="73"/>
      <c r="R146" s="73"/>
      <c r="S146" s="79"/>
      <c r="T146" s="80"/>
      <c r="U146" s="78">
        <f>IF([1]DADOS!F127="","",[1]DADOS!F127)</f>
      </c>
      <c r="V146" s="81">
        <f>IF(C146="","",[1]DADOS!$D$8)</f>
      </c>
    </row>
    <row r="147" ht="21" customHeight="1" spans="2:22" x14ac:dyDescent="0.25">
      <c r="B147" s="73">
        <v>118</v>
      </c>
      <c r="C147" s="74">
        <f>IF([1]DADOS!D128="","",[1]DADOS!D128)</f>
      </c>
      <c r="D147" s="75"/>
      <c r="E147" s="76"/>
      <c r="F147" s="76"/>
      <c r="G147" s="77"/>
      <c r="H147" s="74"/>
      <c r="I147" s="78">
        <f>IF([1]DADOS!G128="","",[1]DADOS!G128)</f>
      </c>
      <c r="J147" s="73">
        <f>IF([1]DADOS!I128="MONOFÁSICO","X","")</f>
      </c>
      <c r="K147" s="73">
        <f>IF([1]DADOS!I128="BIFÁSICO","X","")</f>
      </c>
      <c r="L147" s="73">
        <f>IF([1]DADOS!I128="TRIFÁSICO","X","")</f>
      </c>
      <c r="M147" s="73">
        <f>IF([1]DADOS!H128="5M","X","")</f>
      </c>
      <c r="N147" s="73">
        <f>IF([1]DADOS!H128="7M","X","")</f>
      </c>
      <c r="O147" s="73">
        <f>IF([1]DADOS!H128="PP","X","")</f>
      </c>
      <c r="P147" s="73"/>
      <c r="Q147" s="73"/>
      <c r="R147" s="73"/>
      <c r="S147" s="79"/>
      <c r="T147" s="80"/>
      <c r="U147" s="78">
        <f>IF([1]DADOS!F128="","",[1]DADOS!F128)</f>
      </c>
      <c r="V147" s="81">
        <f>IF(C147="","",[1]DADOS!$D$8)</f>
      </c>
    </row>
    <row r="148" ht="21" customHeight="1" spans="2:22" x14ac:dyDescent="0.25">
      <c r="B148" s="73">
        <v>119</v>
      </c>
      <c r="C148" s="74">
        <f>IF([1]DADOS!D129="","",[1]DADOS!D129)</f>
      </c>
      <c r="D148" s="75"/>
      <c r="E148" s="76"/>
      <c r="F148" s="76"/>
      <c r="G148" s="77"/>
      <c r="H148" s="74"/>
      <c r="I148" s="78">
        <f>IF([1]DADOS!G129="","",[1]DADOS!G129)</f>
      </c>
      <c r="J148" s="73">
        <f>IF([1]DADOS!I129="MONOFÁSICO","X","")</f>
      </c>
      <c r="K148" s="73">
        <f>IF([1]DADOS!I129="BIFÁSICO","X","")</f>
      </c>
      <c r="L148" s="73">
        <f>IF([1]DADOS!I129="TRIFÁSICO","X","")</f>
      </c>
      <c r="M148" s="73">
        <f>IF([1]DADOS!H129="5M","X","")</f>
      </c>
      <c r="N148" s="73">
        <f>IF([1]DADOS!H129="7M","X","")</f>
      </c>
      <c r="O148" s="73">
        <f>IF([1]DADOS!H129="PP","X","")</f>
      </c>
      <c r="P148" s="73"/>
      <c r="Q148" s="73"/>
      <c r="R148" s="73"/>
      <c r="S148" s="79"/>
      <c r="T148" s="80"/>
      <c r="U148" s="78">
        <f>IF([1]DADOS!F129="","",[1]DADOS!F129)</f>
      </c>
      <c r="V148" s="81">
        <f>IF(C148="","",[1]DADOS!$D$8)</f>
      </c>
    </row>
    <row r="149" ht="21" customHeight="1" spans="2:22" x14ac:dyDescent="0.25">
      <c r="B149" s="73">
        <v>120</v>
      </c>
      <c r="C149" s="74">
        <f>IF([1]DADOS!D130="","",[1]DADOS!D130)</f>
      </c>
      <c r="D149" s="75"/>
      <c r="E149" s="76"/>
      <c r="F149" s="76"/>
      <c r="G149" s="77"/>
      <c r="H149" s="74"/>
      <c r="I149" s="78">
        <f>IF([1]DADOS!G130="","",[1]DADOS!G130)</f>
      </c>
      <c r="J149" s="73">
        <f>IF([1]DADOS!I130="MONOFÁSICO","X","")</f>
      </c>
      <c r="K149" s="73">
        <f>IF([1]DADOS!I130="BIFÁSICO","X","")</f>
      </c>
      <c r="L149" s="73">
        <f>IF([1]DADOS!I130="TRIFÁSICO","X","")</f>
      </c>
      <c r="M149" s="73">
        <f>IF([1]DADOS!H130="5M","X","")</f>
      </c>
      <c r="N149" s="73">
        <f>IF([1]DADOS!H130="7M","X","")</f>
      </c>
      <c r="O149" s="73">
        <f>IF([1]DADOS!H130="PP","X","")</f>
      </c>
      <c r="P149" s="73"/>
      <c r="Q149" s="73"/>
      <c r="R149" s="73"/>
      <c r="S149" s="79"/>
      <c r="T149" s="80"/>
      <c r="U149" s="78">
        <f>IF([1]DADOS!F130="","",[1]DADOS!F130)</f>
      </c>
      <c r="V149" s="81">
        <f>IF(C149="","",[1]DADOS!$D$8)</f>
      </c>
    </row>
    <row r="150" ht="21" customHeight="1" spans="2:22" x14ac:dyDescent="0.25">
      <c r="B150" s="73">
        <v>121</v>
      </c>
      <c r="C150" s="74">
        <f>IF([1]DADOS!D131="","",[1]DADOS!D131)</f>
      </c>
      <c r="D150" s="75"/>
      <c r="E150" s="76"/>
      <c r="F150" s="76"/>
      <c r="G150" s="77"/>
      <c r="H150" s="74"/>
      <c r="I150" s="78">
        <f>IF([1]DADOS!G131="","",[1]DADOS!G131)</f>
      </c>
      <c r="J150" s="73">
        <f>IF([1]DADOS!I131="MONOFÁSICO","X","")</f>
      </c>
      <c r="K150" s="73">
        <f>IF([1]DADOS!I131="BIFÁSICO","X","")</f>
      </c>
      <c r="L150" s="73">
        <f>IF([1]DADOS!I131="TRIFÁSICO","X","")</f>
      </c>
      <c r="M150" s="73">
        <f>IF([1]DADOS!H131="5M","X","")</f>
      </c>
      <c r="N150" s="73">
        <f>IF([1]DADOS!H131="7M","X","")</f>
      </c>
      <c r="O150" s="73">
        <f>IF([1]DADOS!H131="PP","X","")</f>
      </c>
      <c r="P150" s="73"/>
      <c r="Q150" s="73"/>
      <c r="R150" s="73"/>
      <c r="S150" s="79"/>
      <c r="T150" s="80"/>
      <c r="U150" s="78">
        <f>IF([1]DADOS!F131="","",[1]DADOS!F131)</f>
      </c>
      <c r="V150" s="81">
        <f>IF(C150="","",[1]DADOS!$D$8)</f>
      </c>
    </row>
    <row r="151" ht="21" customHeight="1" spans="2:22" x14ac:dyDescent="0.25">
      <c r="B151" s="73">
        <v>122</v>
      </c>
      <c r="C151" s="74">
        <f>IF([1]DADOS!D132="","",[1]DADOS!D132)</f>
      </c>
      <c r="D151" s="75"/>
      <c r="E151" s="76"/>
      <c r="F151" s="76"/>
      <c r="G151" s="77"/>
      <c r="H151" s="74"/>
      <c r="I151" s="78">
        <f>IF([1]DADOS!G132="","",[1]DADOS!G132)</f>
      </c>
      <c r="J151" s="73">
        <f>IF([1]DADOS!I132="MONOFÁSICO","X","")</f>
      </c>
      <c r="K151" s="73">
        <f>IF([1]DADOS!I132="BIFÁSICO","X","")</f>
      </c>
      <c r="L151" s="73">
        <f>IF([1]DADOS!I132="TRIFÁSICO","X","")</f>
      </c>
      <c r="M151" s="73">
        <f>IF([1]DADOS!H132="5M","X","")</f>
      </c>
      <c r="N151" s="73">
        <f>IF([1]DADOS!H132="7M","X","")</f>
      </c>
      <c r="O151" s="73">
        <f>IF([1]DADOS!H132="PP","X","")</f>
      </c>
      <c r="P151" s="73"/>
      <c r="Q151" s="73"/>
      <c r="R151" s="73"/>
      <c r="S151" s="79"/>
      <c r="T151" s="80"/>
      <c r="U151" s="78">
        <f>IF([1]DADOS!F132="","",[1]DADOS!F132)</f>
      </c>
      <c r="V151" s="81">
        <f>IF(C151="","",[1]DADOS!$D$8)</f>
      </c>
    </row>
    <row r="152" ht="21" customHeight="1" spans="2:22" x14ac:dyDescent="0.25">
      <c r="B152" s="73">
        <v>123</v>
      </c>
      <c r="C152" s="74">
        <f>IF([1]DADOS!D133="","",[1]DADOS!D133)</f>
      </c>
      <c r="D152" s="75"/>
      <c r="E152" s="76"/>
      <c r="F152" s="76"/>
      <c r="G152" s="77"/>
      <c r="H152" s="74"/>
      <c r="I152" s="78">
        <f>IF([1]DADOS!G133="","",[1]DADOS!G133)</f>
      </c>
      <c r="J152" s="73">
        <f>IF([1]DADOS!I133="MONOFÁSICO","X","")</f>
      </c>
      <c r="K152" s="73">
        <f>IF([1]DADOS!I133="BIFÁSICO","X","")</f>
      </c>
      <c r="L152" s="73">
        <f>IF([1]DADOS!I133="TRIFÁSICO","X","")</f>
      </c>
      <c r="M152" s="73">
        <f>IF([1]DADOS!H133="5M","X","")</f>
      </c>
      <c r="N152" s="73">
        <f>IF([1]DADOS!H133="7M","X","")</f>
      </c>
      <c r="O152" s="73">
        <f>IF([1]DADOS!H133="PP","X","")</f>
      </c>
      <c r="P152" s="73"/>
      <c r="Q152" s="73"/>
      <c r="R152" s="73"/>
      <c r="S152" s="79"/>
      <c r="T152" s="80"/>
      <c r="U152" s="78">
        <f>IF([1]DADOS!F133="","",[1]DADOS!F133)</f>
      </c>
      <c r="V152" s="81">
        <f>IF(C152="","",[1]DADOS!$D$8)</f>
      </c>
    </row>
    <row r="153" ht="21" customHeight="1" spans="2:22" x14ac:dyDescent="0.25">
      <c r="B153" s="73">
        <v>124</v>
      </c>
      <c r="C153" s="74">
        <f>IF([1]DADOS!D134="","",[1]DADOS!D134)</f>
      </c>
      <c r="D153" s="75"/>
      <c r="E153" s="76"/>
      <c r="F153" s="76"/>
      <c r="G153" s="77"/>
      <c r="H153" s="74"/>
      <c r="I153" s="78">
        <f>IF([1]DADOS!G134="","",[1]DADOS!G134)</f>
      </c>
      <c r="J153" s="73">
        <f>IF([1]DADOS!I134="MONOFÁSICO","X","")</f>
      </c>
      <c r="K153" s="73">
        <f>IF([1]DADOS!I134="BIFÁSICO","X","")</f>
      </c>
      <c r="L153" s="73">
        <f>IF([1]DADOS!I134="TRIFÁSICO","X","")</f>
      </c>
      <c r="M153" s="73">
        <f>IF([1]DADOS!H134="5M","X","")</f>
      </c>
      <c r="N153" s="73">
        <f>IF([1]DADOS!H134="7M","X","")</f>
      </c>
      <c r="O153" s="73">
        <f>IF([1]DADOS!H134="PP","X","")</f>
      </c>
      <c r="P153" s="73"/>
      <c r="Q153" s="73"/>
      <c r="R153" s="73"/>
      <c r="S153" s="79"/>
      <c r="T153" s="80"/>
      <c r="U153" s="78">
        <f>IF([1]DADOS!F134="","",[1]DADOS!F134)</f>
      </c>
      <c r="V153" s="81">
        <f>IF(C153="","",[1]DADOS!$D$8)</f>
      </c>
    </row>
    <row r="154" ht="21" customHeight="1" spans="2:22" x14ac:dyDescent="0.25">
      <c r="B154" s="73">
        <v>125</v>
      </c>
      <c r="C154" s="74">
        <f>IF([1]DADOS!D135="","",[1]DADOS!D135)</f>
      </c>
      <c r="D154" s="75"/>
      <c r="E154" s="76"/>
      <c r="F154" s="76"/>
      <c r="G154" s="77"/>
      <c r="H154" s="74"/>
      <c r="I154" s="78">
        <f>IF([1]DADOS!G135="","",[1]DADOS!G135)</f>
      </c>
      <c r="J154" s="73">
        <f>IF([1]DADOS!I135="MONOFÁSICO","X","")</f>
      </c>
      <c r="K154" s="73">
        <f>IF([1]DADOS!I135="BIFÁSICO","X","")</f>
      </c>
      <c r="L154" s="73">
        <f>IF([1]DADOS!I135="TRIFÁSICO","X","")</f>
      </c>
      <c r="M154" s="73">
        <f>IF([1]DADOS!H135="5M","X","")</f>
      </c>
      <c r="N154" s="73">
        <f>IF([1]DADOS!H135="7M","X","")</f>
      </c>
      <c r="O154" s="73">
        <f>IF([1]DADOS!H135="PP","X","")</f>
      </c>
      <c r="P154" s="73"/>
      <c r="Q154" s="73"/>
      <c r="R154" s="73"/>
      <c r="S154" s="79"/>
      <c r="T154" s="80"/>
      <c r="U154" s="78">
        <f>IF([1]DADOS!F135="","",[1]DADOS!F135)</f>
      </c>
      <c r="V154" s="81">
        <f>IF(C154="","",[1]DADOS!$D$8)</f>
      </c>
    </row>
    <row r="155" ht="21" customHeight="1" spans="2:22" x14ac:dyDescent="0.25">
      <c r="B155" s="73">
        <v>126</v>
      </c>
      <c r="C155" s="74">
        <f>IF([1]DADOS!D136="","",[1]DADOS!D136)</f>
      </c>
      <c r="D155" s="75"/>
      <c r="E155" s="76"/>
      <c r="F155" s="76"/>
      <c r="G155" s="77"/>
      <c r="H155" s="74"/>
      <c r="I155" s="78">
        <f>IF([1]DADOS!G136="","",[1]DADOS!G136)</f>
      </c>
      <c r="J155" s="73">
        <f>IF([1]DADOS!I136="MONOFÁSICO","X","")</f>
      </c>
      <c r="K155" s="73">
        <f>IF([1]DADOS!I136="BIFÁSICO","X","")</f>
      </c>
      <c r="L155" s="73">
        <f>IF([1]DADOS!I136="TRIFÁSICO","X","")</f>
      </c>
      <c r="M155" s="73">
        <f>IF([1]DADOS!H136="5M","X","")</f>
      </c>
      <c r="N155" s="73">
        <f>IF([1]DADOS!H136="7M","X","")</f>
      </c>
      <c r="O155" s="73">
        <f>IF([1]DADOS!H136="PP","X","")</f>
      </c>
      <c r="P155" s="73"/>
      <c r="Q155" s="73"/>
      <c r="R155" s="73"/>
      <c r="S155" s="79"/>
      <c r="T155" s="80"/>
      <c r="U155" s="78">
        <f>IF([1]DADOS!F136="","",[1]DADOS!F136)</f>
      </c>
      <c r="V155" s="81">
        <f>IF(C155="","",[1]DADOS!$D$8)</f>
      </c>
    </row>
    <row r="156" ht="21" customHeight="1" spans="2:22" x14ac:dyDescent="0.25">
      <c r="B156" s="73">
        <v>127</v>
      </c>
      <c r="C156" s="74">
        <f>IF([1]DADOS!D137="","",[1]DADOS!D137)</f>
      </c>
      <c r="D156" s="75"/>
      <c r="E156" s="76"/>
      <c r="F156" s="76"/>
      <c r="G156" s="77"/>
      <c r="H156" s="74"/>
      <c r="I156" s="78">
        <f>IF([1]DADOS!G137="","",[1]DADOS!G137)</f>
      </c>
      <c r="J156" s="73">
        <f>IF([1]DADOS!I137="MONOFÁSICO","X","")</f>
      </c>
      <c r="K156" s="73">
        <f>IF([1]DADOS!I137="BIFÁSICO","X","")</f>
      </c>
      <c r="L156" s="73">
        <f>IF([1]DADOS!I137="TRIFÁSICO","X","")</f>
      </c>
      <c r="M156" s="73">
        <f>IF([1]DADOS!H137="5M","X","")</f>
      </c>
      <c r="N156" s="73">
        <f>IF([1]DADOS!H137="7M","X","")</f>
      </c>
      <c r="O156" s="73">
        <f>IF([1]DADOS!H137="PP","X","")</f>
      </c>
      <c r="P156" s="73"/>
      <c r="Q156" s="73"/>
      <c r="R156" s="73"/>
      <c r="S156" s="79"/>
      <c r="T156" s="80"/>
      <c r="U156" s="78">
        <f>IF([1]DADOS!F137="","",[1]DADOS!F137)</f>
      </c>
      <c r="V156" s="81">
        <f>IF(C156="","",[1]DADOS!$D$8)</f>
      </c>
    </row>
    <row r="157" ht="21" customHeight="1" spans="2:22" x14ac:dyDescent="0.25">
      <c r="B157" s="73">
        <v>128</v>
      </c>
      <c r="C157" s="74">
        <f>IF([1]DADOS!D138="","",[1]DADOS!D138)</f>
      </c>
      <c r="D157" s="75"/>
      <c r="E157" s="76"/>
      <c r="F157" s="76"/>
      <c r="G157" s="77"/>
      <c r="H157" s="74"/>
      <c r="I157" s="78">
        <f>IF([1]DADOS!G138="","",[1]DADOS!G138)</f>
      </c>
      <c r="J157" s="73">
        <f>IF([1]DADOS!I138="MONOFÁSICO","X","")</f>
      </c>
      <c r="K157" s="73">
        <f>IF([1]DADOS!I138="BIFÁSICO","X","")</f>
      </c>
      <c r="L157" s="73">
        <f>IF([1]DADOS!I138="TRIFÁSICO","X","")</f>
      </c>
      <c r="M157" s="73">
        <f>IF([1]DADOS!H138="5M","X","")</f>
      </c>
      <c r="N157" s="73">
        <f>IF([1]DADOS!H138="7M","X","")</f>
      </c>
      <c r="O157" s="73">
        <f>IF([1]DADOS!H138="PP","X","")</f>
      </c>
      <c r="P157" s="73"/>
      <c r="Q157" s="73"/>
      <c r="R157" s="73"/>
      <c r="S157" s="79"/>
      <c r="T157" s="80"/>
      <c r="U157" s="78">
        <f>IF([1]DADOS!F138="","",[1]DADOS!F138)</f>
      </c>
      <c r="V157" s="81">
        <f>IF(C157="","",[1]DADOS!$D$8)</f>
      </c>
    </row>
    <row r="158" ht="21" customHeight="1" spans="2:22" x14ac:dyDescent="0.25">
      <c r="B158" s="73">
        <v>129</v>
      </c>
      <c r="C158" s="74">
        <f>IF([1]DADOS!D139="","",[1]DADOS!D139)</f>
      </c>
      <c r="D158" s="75"/>
      <c r="E158" s="76"/>
      <c r="F158" s="76"/>
      <c r="G158" s="77"/>
      <c r="H158" s="74"/>
      <c r="I158" s="78">
        <f>IF([1]DADOS!G139="","",[1]DADOS!G139)</f>
      </c>
      <c r="J158" s="73">
        <f>IF([1]DADOS!I139="MONOFÁSICO","X","")</f>
      </c>
      <c r="K158" s="73">
        <f>IF([1]DADOS!I139="BIFÁSICO","X","")</f>
      </c>
      <c r="L158" s="73">
        <f>IF([1]DADOS!I139="TRIFÁSICO","X","")</f>
      </c>
      <c r="M158" s="73">
        <f>IF([1]DADOS!H139="5M","X","")</f>
      </c>
      <c r="N158" s="73">
        <f>IF([1]DADOS!H139="7M","X","")</f>
      </c>
      <c r="O158" s="73">
        <f>IF([1]DADOS!H139="PP","X","")</f>
      </c>
      <c r="P158" s="73"/>
      <c r="Q158" s="73"/>
      <c r="R158" s="73"/>
      <c r="S158" s="79"/>
      <c r="T158" s="80"/>
      <c r="U158" s="78">
        <f>IF([1]DADOS!F139="","",[1]DADOS!F139)</f>
      </c>
      <c r="V158" s="81">
        <f>IF(C158="","",[1]DADOS!$D$8)</f>
      </c>
    </row>
    <row r="159" ht="21" customHeight="1" spans="2:22" x14ac:dyDescent="0.25">
      <c r="B159" s="73">
        <v>130</v>
      </c>
      <c r="C159" s="74">
        <f>IF([1]DADOS!D140="","",[1]DADOS!D140)</f>
      </c>
      <c r="D159" s="75"/>
      <c r="E159" s="76"/>
      <c r="F159" s="76"/>
      <c r="G159" s="77"/>
      <c r="H159" s="74"/>
      <c r="I159" s="78">
        <f>IF([1]DADOS!G140="","",[1]DADOS!G140)</f>
      </c>
      <c r="J159" s="73">
        <f>IF([1]DADOS!I140="MONOFÁSICO","X","")</f>
      </c>
      <c r="K159" s="73">
        <f>IF([1]DADOS!I140="BIFÁSICO","X","")</f>
      </c>
      <c r="L159" s="73">
        <f>IF([1]DADOS!I140="TRIFÁSICO","X","")</f>
      </c>
      <c r="M159" s="73">
        <f>IF([1]DADOS!H140="5M","X","")</f>
      </c>
      <c r="N159" s="73">
        <f>IF([1]DADOS!H140="7M","X","")</f>
      </c>
      <c r="O159" s="73">
        <f>IF([1]DADOS!H140="PP","X","")</f>
      </c>
      <c r="P159" s="73"/>
      <c r="Q159" s="73"/>
      <c r="R159" s="73"/>
      <c r="S159" s="79"/>
      <c r="T159" s="80"/>
      <c r="U159" s="78">
        <f>IF([1]DADOS!F140="","",[1]DADOS!F140)</f>
      </c>
      <c r="V159" s="81">
        <f>IF(C159="","",[1]DADOS!$D$8)</f>
      </c>
    </row>
    <row r="160" ht="21" customHeight="1" spans="2:22" x14ac:dyDescent="0.25">
      <c r="B160" s="73">
        <v>131</v>
      </c>
      <c r="C160" s="74">
        <f>IF([1]DADOS!D141="","",[1]DADOS!D141)</f>
      </c>
      <c r="D160" s="75"/>
      <c r="E160" s="76"/>
      <c r="F160" s="76"/>
      <c r="G160" s="77"/>
      <c r="H160" s="74"/>
      <c r="I160" s="78">
        <f>IF([1]DADOS!G141="","",[1]DADOS!G141)</f>
      </c>
      <c r="J160" s="73">
        <f>IF([1]DADOS!I141="MONOFÁSICO","X","")</f>
      </c>
      <c r="K160" s="73">
        <f>IF([1]DADOS!I141="BIFÁSICO","X","")</f>
      </c>
      <c r="L160" s="73">
        <f>IF([1]DADOS!I141="TRIFÁSICO","X","")</f>
      </c>
      <c r="M160" s="73">
        <f>IF([1]DADOS!H141="5M","X","")</f>
      </c>
      <c r="N160" s="73">
        <f>IF([1]DADOS!H141="7M","X","")</f>
      </c>
      <c r="O160" s="73">
        <f>IF([1]DADOS!H141="PP","X","")</f>
      </c>
      <c r="P160" s="73"/>
      <c r="Q160" s="73"/>
      <c r="R160" s="73"/>
      <c r="S160" s="79"/>
      <c r="T160" s="80"/>
      <c r="U160" s="78">
        <f>IF([1]DADOS!F141="","",[1]DADOS!F141)</f>
      </c>
      <c r="V160" s="81">
        <f>IF(C160="","",[1]DADOS!$D$8)</f>
      </c>
    </row>
    <row r="161" ht="21" customHeight="1" spans="2:22" x14ac:dyDescent="0.25">
      <c r="B161" s="73">
        <v>132</v>
      </c>
      <c r="C161" s="74">
        <f>IF([1]DADOS!D142="","",[1]DADOS!D142)</f>
      </c>
      <c r="D161" s="75"/>
      <c r="E161" s="76"/>
      <c r="F161" s="76"/>
      <c r="G161" s="77"/>
      <c r="H161" s="74"/>
      <c r="I161" s="78">
        <f>IF([1]DADOS!G142="","",[1]DADOS!G142)</f>
      </c>
      <c r="J161" s="73">
        <f>IF([1]DADOS!I142="MONOFÁSICO","X","")</f>
      </c>
      <c r="K161" s="73">
        <f>IF([1]DADOS!I142="BIFÁSICO","X","")</f>
      </c>
      <c r="L161" s="73">
        <f>IF([1]DADOS!I142="TRIFÁSICO","X","")</f>
      </c>
      <c r="M161" s="73">
        <f>IF([1]DADOS!H142="5M","X","")</f>
      </c>
      <c r="N161" s="73">
        <f>IF([1]DADOS!H142="7M","X","")</f>
      </c>
      <c r="O161" s="73">
        <f>IF([1]DADOS!H142="PP","X","")</f>
      </c>
      <c r="P161" s="73"/>
      <c r="Q161" s="73"/>
      <c r="R161" s="73"/>
      <c r="S161" s="79"/>
      <c r="T161" s="80"/>
      <c r="U161" s="78">
        <f>IF([1]DADOS!F142="","",[1]DADOS!F142)</f>
      </c>
      <c r="V161" s="81">
        <f>IF(C161="","",[1]DADOS!$D$8)</f>
      </c>
    </row>
    <row r="162" ht="21" customHeight="1" spans="2:22" x14ac:dyDescent="0.25">
      <c r="B162" s="73">
        <v>133</v>
      </c>
      <c r="C162" s="74">
        <f>IF([1]DADOS!D143="","",[1]DADOS!D143)</f>
      </c>
      <c r="D162" s="75"/>
      <c r="E162" s="76"/>
      <c r="F162" s="76"/>
      <c r="G162" s="77"/>
      <c r="H162" s="74"/>
      <c r="I162" s="78">
        <f>IF([1]DADOS!G143="","",[1]DADOS!G143)</f>
      </c>
      <c r="J162" s="73">
        <f>IF([1]DADOS!I143="MONOFÁSICO","X","")</f>
      </c>
      <c r="K162" s="73">
        <f>IF([1]DADOS!I143="BIFÁSICO","X","")</f>
      </c>
      <c r="L162" s="73">
        <f>IF([1]DADOS!I143="TRIFÁSICO","X","")</f>
      </c>
      <c r="M162" s="73">
        <f>IF([1]DADOS!H143="5M","X","")</f>
      </c>
      <c r="N162" s="73">
        <f>IF([1]DADOS!H143="7M","X","")</f>
      </c>
      <c r="O162" s="73">
        <f>IF([1]DADOS!H143="PP","X","")</f>
      </c>
      <c r="P162" s="73"/>
      <c r="Q162" s="73"/>
      <c r="R162" s="73"/>
      <c r="S162" s="79"/>
      <c r="T162" s="80"/>
      <c r="U162" s="78">
        <f>IF([1]DADOS!F143="","",[1]DADOS!F143)</f>
      </c>
      <c r="V162" s="81">
        <f>IF(C162="","",[1]DADOS!$D$8)</f>
      </c>
    </row>
    <row r="163" ht="21" customHeight="1" spans="2:22" x14ac:dyDescent="0.25">
      <c r="B163" s="73">
        <v>134</v>
      </c>
      <c r="C163" s="74">
        <f>IF([1]DADOS!D144="","",[1]DADOS!D144)</f>
      </c>
      <c r="D163" s="75"/>
      <c r="E163" s="76"/>
      <c r="F163" s="76"/>
      <c r="G163" s="77"/>
      <c r="H163" s="74"/>
      <c r="I163" s="78">
        <f>IF([1]DADOS!G144="","",[1]DADOS!G144)</f>
      </c>
      <c r="J163" s="73">
        <f>IF([1]DADOS!I144="MONOFÁSICO","X","")</f>
      </c>
      <c r="K163" s="73">
        <f>IF([1]DADOS!I144="BIFÁSICO","X","")</f>
      </c>
      <c r="L163" s="73">
        <f>IF([1]DADOS!I144="TRIFÁSICO","X","")</f>
      </c>
      <c r="M163" s="73">
        <f>IF([1]DADOS!H144="5M","X","")</f>
      </c>
      <c r="N163" s="73">
        <f>IF([1]DADOS!H144="7M","X","")</f>
      </c>
      <c r="O163" s="73">
        <f>IF([1]DADOS!H144="PP","X","")</f>
      </c>
      <c r="P163" s="73"/>
      <c r="Q163" s="73"/>
      <c r="R163" s="73"/>
      <c r="S163" s="79"/>
      <c r="T163" s="80"/>
      <c r="U163" s="78">
        <f>IF([1]DADOS!F144="","",[1]DADOS!F144)</f>
      </c>
      <c r="V163" s="81">
        <f>IF(C163="","",[1]DADOS!$D$8)</f>
      </c>
    </row>
    <row r="164" ht="21" customHeight="1" spans="2:22" x14ac:dyDescent="0.25">
      <c r="B164" s="73">
        <v>135</v>
      </c>
      <c r="C164" s="74">
        <f>IF([1]DADOS!D145="","",[1]DADOS!D145)</f>
      </c>
      <c r="D164" s="75"/>
      <c r="E164" s="76"/>
      <c r="F164" s="76"/>
      <c r="G164" s="77"/>
      <c r="H164" s="74"/>
      <c r="I164" s="78">
        <f>IF([1]DADOS!G145="","",[1]DADOS!G145)</f>
      </c>
      <c r="J164" s="73">
        <f>IF([1]DADOS!I145="MONOFÁSICO","X","")</f>
      </c>
      <c r="K164" s="73">
        <f>IF([1]DADOS!I145="BIFÁSICO","X","")</f>
      </c>
      <c r="L164" s="73">
        <f>IF([1]DADOS!I145="TRIFÁSICO","X","")</f>
      </c>
      <c r="M164" s="73">
        <f>IF([1]DADOS!H145="5M","X","")</f>
      </c>
      <c r="N164" s="73">
        <f>IF([1]DADOS!H145="7M","X","")</f>
      </c>
      <c r="O164" s="73">
        <f>IF([1]DADOS!H145="PP","X","")</f>
      </c>
      <c r="P164" s="73"/>
      <c r="Q164" s="73"/>
      <c r="R164" s="73"/>
      <c r="S164" s="79"/>
      <c r="T164" s="80"/>
      <c r="U164" s="78">
        <f>IF([1]DADOS!F145="","",[1]DADOS!F145)</f>
      </c>
      <c r="V164" s="81">
        <f>IF(C164="","",[1]DADOS!$D$8)</f>
      </c>
    </row>
    <row r="165" ht="21" customHeight="1" spans="2:22" x14ac:dyDescent="0.25">
      <c r="B165" s="73">
        <v>136</v>
      </c>
      <c r="C165" s="74">
        <f>IF([1]DADOS!D146="","",[1]DADOS!D146)</f>
      </c>
      <c r="D165" s="75"/>
      <c r="E165" s="76"/>
      <c r="F165" s="76"/>
      <c r="G165" s="77"/>
      <c r="H165" s="74"/>
      <c r="I165" s="78">
        <f>IF([1]DADOS!G146="","",[1]DADOS!G146)</f>
      </c>
      <c r="J165" s="73">
        <f>IF([1]DADOS!I146="MONOFÁSICO","X","")</f>
      </c>
      <c r="K165" s="73">
        <f>IF([1]DADOS!I146="BIFÁSICO","X","")</f>
      </c>
      <c r="L165" s="73">
        <f>IF([1]DADOS!I146="TRIFÁSICO","X","")</f>
      </c>
      <c r="M165" s="73">
        <f>IF([1]DADOS!H146="5M","X","")</f>
      </c>
      <c r="N165" s="73">
        <f>IF([1]DADOS!H146="7M","X","")</f>
      </c>
      <c r="O165" s="73">
        <f>IF([1]DADOS!H146="PP","X","")</f>
      </c>
      <c r="P165" s="73"/>
      <c r="Q165" s="73"/>
      <c r="R165" s="73"/>
      <c r="S165" s="79"/>
      <c r="T165" s="80"/>
      <c r="U165" s="78">
        <f>IF([1]DADOS!F146="","",[1]DADOS!F146)</f>
      </c>
      <c r="V165" s="81">
        <f>IF(C165="","",[1]DADOS!$D$8)</f>
      </c>
    </row>
    <row r="166" ht="21" customHeight="1" spans="2:22" x14ac:dyDescent="0.25">
      <c r="B166" s="73">
        <v>137</v>
      </c>
      <c r="C166" s="74">
        <f>IF([1]DADOS!D147="","",[1]DADOS!D147)</f>
      </c>
      <c r="D166" s="75"/>
      <c r="E166" s="76"/>
      <c r="F166" s="76"/>
      <c r="G166" s="77"/>
      <c r="H166" s="74"/>
      <c r="I166" s="78">
        <f>IF([1]DADOS!G147="","",[1]DADOS!G147)</f>
      </c>
      <c r="J166" s="73">
        <f>IF([1]DADOS!I147="MONOFÁSICO","X","")</f>
      </c>
      <c r="K166" s="73">
        <f>IF([1]DADOS!I147="BIFÁSICO","X","")</f>
      </c>
      <c r="L166" s="73">
        <f>IF([1]DADOS!I147="TRIFÁSICO","X","")</f>
      </c>
      <c r="M166" s="73">
        <f>IF([1]DADOS!H147="5M","X","")</f>
      </c>
      <c r="N166" s="73">
        <f>IF([1]DADOS!H147="7M","X","")</f>
      </c>
      <c r="O166" s="73">
        <f>IF([1]DADOS!H147="PP","X","")</f>
      </c>
      <c r="P166" s="73"/>
      <c r="Q166" s="73"/>
      <c r="R166" s="73"/>
      <c r="S166" s="79"/>
      <c r="T166" s="80"/>
      <c r="U166" s="78">
        <f>IF([1]DADOS!F147="","",[1]DADOS!F147)</f>
      </c>
      <c r="V166" s="81">
        <f>IF(C166="","",[1]DADOS!$D$8)</f>
      </c>
    </row>
    <row r="167" ht="21" customHeight="1" spans="2:22" x14ac:dyDescent="0.25">
      <c r="B167" s="73">
        <v>138</v>
      </c>
      <c r="C167" s="74">
        <f>IF([1]DADOS!D148="","",[1]DADOS!D148)</f>
      </c>
      <c r="D167" s="75"/>
      <c r="E167" s="76"/>
      <c r="F167" s="76"/>
      <c r="G167" s="77"/>
      <c r="H167" s="74"/>
      <c r="I167" s="78">
        <f>IF([1]DADOS!G148="","",[1]DADOS!G148)</f>
      </c>
      <c r="J167" s="73">
        <f>IF([1]DADOS!I148="MONOFÁSICO","X","")</f>
      </c>
      <c r="K167" s="73">
        <f>IF([1]DADOS!I148="BIFÁSICO","X","")</f>
      </c>
      <c r="L167" s="73">
        <f>IF([1]DADOS!I148="TRIFÁSICO","X","")</f>
      </c>
      <c r="M167" s="73">
        <f>IF([1]DADOS!H148="5M","X","")</f>
      </c>
      <c r="N167" s="73">
        <f>IF([1]DADOS!H148="7M","X","")</f>
      </c>
      <c r="O167" s="73">
        <f>IF([1]DADOS!H148="PP","X","")</f>
      </c>
      <c r="P167" s="73"/>
      <c r="Q167" s="73"/>
      <c r="R167" s="73"/>
      <c r="S167" s="79"/>
      <c r="T167" s="80"/>
      <c r="U167" s="78">
        <f>IF([1]DADOS!F148="","",[1]DADOS!F148)</f>
      </c>
      <c r="V167" s="81">
        <f>IF(C167="","",[1]DADOS!$D$8)</f>
      </c>
    </row>
    <row r="168" ht="21" customHeight="1" spans="2:22" x14ac:dyDescent="0.25">
      <c r="B168" s="73">
        <v>139</v>
      </c>
      <c r="C168" s="74">
        <f>IF([1]DADOS!D149="","",[1]DADOS!D149)</f>
      </c>
      <c r="D168" s="75"/>
      <c r="E168" s="76"/>
      <c r="F168" s="76"/>
      <c r="G168" s="77"/>
      <c r="H168" s="74"/>
      <c r="I168" s="78">
        <f>IF([1]DADOS!G149="","",[1]DADOS!G149)</f>
      </c>
      <c r="J168" s="73">
        <f>IF([1]DADOS!I149="MONOFÁSICO","X","")</f>
      </c>
      <c r="K168" s="73">
        <f>IF([1]DADOS!I149="BIFÁSICO","X","")</f>
      </c>
      <c r="L168" s="73">
        <f>IF([1]DADOS!I149="TRIFÁSICO","X","")</f>
      </c>
      <c r="M168" s="73">
        <f>IF([1]DADOS!H149="5M","X","")</f>
      </c>
      <c r="N168" s="73">
        <f>IF([1]DADOS!H149="7M","X","")</f>
      </c>
      <c r="O168" s="73">
        <f>IF([1]DADOS!H149="PP","X","")</f>
      </c>
      <c r="P168" s="73"/>
      <c r="Q168" s="73"/>
      <c r="R168" s="73"/>
      <c r="S168" s="79"/>
      <c r="T168" s="80"/>
      <c r="U168" s="78">
        <f>IF([1]DADOS!F149="","",[1]DADOS!F149)</f>
      </c>
      <c r="V168" s="81">
        <f>IF(C168="","",[1]DADOS!$D$8)</f>
      </c>
    </row>
    <row r="169" ht="21" customHeight="1" spans="2:22" x14ac:dyDescent="0.25">
      <c r="B169" s="73">
        <v>140</v>
      </c>
      <c r="C169" s="74">
        <f>IF([1]DADOS!D150="","",[1]DADOS!D150)</f>
      </c>
      <c r="D169" s="75"/>
      <c r="E169" s="76"/>
      <c r="F169" s="76"/>
      <c r="G169" s="77"/>
      <c r="H169" s="74"/>
      <c r="I169" s="78">
        <f>IF([1]DADOS!G150="","",[1]DADOS!G150)</f>
      </c>
      <c r="J169" s="73">
        <f>IF([1]DADOS!I150="MONOFÁSICO","X","")</f>
      </c>
      <c r="K169" s="73">
        <f>IF([1]DADOS!I150="BIFÁSICO","X","")</f>
      </c>
      <c r="L169" s="73">
        <f>IF([1]DADOS!I150="TRIFÁSICO","X","")</f>
      </c>
      <c r="M169" s="73">
        <f>IF([1]DADOS!H150="5M","X","")</f>
      </c>
      <c r="N169" s="73">
        <f>IF([1]DADOS!H150="7M","X","")</f>
      </c>
      <c r="O169" s="73">
        <f>IF([1]DADOS!H150="PP","X","")</f>
      </c>
      <c r="P169" s="73"/>
      <c r="Q169" s="73"/>
      <c r="R169" s="73"/>
      <c r="S169" s="79"/>
      <c r="T169" s="80"/>
      <c r="U169" s="78">
        <f>IF([1]DADOS!F150="","",[1]DADOS!F150)</f>
      </c>
      <c r="V169" s="81">
        <f>IF(C169="","",[1]DADOS!$D$8)</f>
      </c>
    </row>
    <row r="170" ht="21" customHeight="1" spans="2:22" x14ac:dyDescent="0.25">
      <c r="B170" s="73">
        <v>141</v>
      </c>
      <c r="C170" s="74">
        <f>IF([1]DADOS!D151="","",[1]DADOS!D151)</f>
      </c>
      <c r="D170" s="75"/>
      <c r="E170" s="76"/>
      <c r="F170" s="76"/>
      <c r="G170" s="77"/>
      <c r="H170" s="74"/>
      <c r="I170" s="78">
        <f>IF([1]DADOS!G151="","",[1]DADOS!G151)</f>
      </c>
      <c r="J170" s="73">
        <f>IF([1]DADOS!I151="MONOFÁSICO","X","")</f>
      </c>
      <c r="K170" s="73">
        <f>IF([1]DADOS!I151="BIFÁSICO","X","")</f>
      </c>
      <c r="L170" s="73">
        <f>IF([1]DADOS!I151="TRIFÁSICO","X","")</f>
      </c>
      <c r="M170" s="73">
        <f>IF([1]DADOS!H151="5M","X","")</f>
      </c>
      <c r="N170" s="73">
        <f>IF([1]DADOS!H151="7M","X","")</f>
      </c>
      <c r="O170" s="73">
        <f>IF([1]DADOS!H151="PP","X","")</f>
      </c>
      <c r="P170" s="73"/>
      <c r="Q170" s="73"/>
      <c r="R170" s="73"/>
      <c r="S170" s="79"/>
      <c r="T170" s="80"/>
      <c r="U170" s="78">
        <f>IF([1]DADOS!F151="","",[1]DADOS!F151)</f>
      </c>
      <c r="V170" s="81">
        <f>IF(C170="","",[1]DADOS!$D$8)</f>
      </c>
    </row>
    <row r="171" ht="21" customHeight="1" spans="2:22" x14ac:dyDescent="0.25">
      <c r="B171" s="73">
        <v>142</v>
      </c>
      <c r="C171" s="74">
        <f>IF([1]DADOS!D152="","",[1]DADOS!D152)</f>
      </c>
      <c r="D171" s="75"/>
      <c r="E171" s="76"/>
      <c r="F171" s="76"/>
      <c r="G171" s="77"/>
      <c r="H171" s="74"/>
      <c r="I171" s="78">
        <f>IF([1]DADOS!G152="","",[1]DADOS!G152)</f>
      </c>
      <c r="J171" s="73">
        <f>IF([1]DADOS!I152="MONOFÁSICO","X","")</f>
      </c>
      <c r="K171" s="73">
        <f>IF([1]DADOS!I152="BIFÁSICO","X","")</f>
      </c>
      <c r="L171" s="73">
        <f>IF([1]DADOS!I152="TRIFÁSICO","X","")</f>
      </c>
      <c r="M171" s="73">
        <f>IF([1]DADOS!H152="5M","X","")</f>
      </c>
      <c r="N171" s="73">
        <f>IF([1]DADOS!H152="7M","X","")</f>
      </c>
      <c r="O171" s="73">
        <f>IF([1]DADOS!H152="PP","X","")</f>
      </c>
      <c r="P171" s="73"/>
      <c r="Q171" s="73"/>
      <c r="R171" s="73"/>
      <c r="S171" s="79"/>
      <c r="T171" s="80"/>
      <c r="U171" s="78">
        <f>IF([1]DADOS!F152="","",[1]DADOS!F152)</f>
      </c>
      <c r="V171" s="81">
        <f>IF(C171="","",[1]DADOS!$D$8)</f>
      </c>
    </row>
    <row r="172" ht="21" customHeight="1" spans="2:22" x14ac:dyDescent="0.25">
      <c r="B172" s="73">
        <v>143</v>
      </c>
      <c r="C172" s="74">
        <f>IF([1]DADOS!D153="","",[1]DADOS!D153)</f>
      </c>
      <c r="D172" s="75"/>
      <c r="E172" s="76"/>
      <c r="F172" s="76"/>
      <c r="G172" s="77"/>
      <c r="H172" s="74"/>
      <c r="I172" s="78">
        <f>IF([1]DADOS!G153="","",[1]DADOS!G153)</f>
      </c>
      <c r="J172" s="73">
        <f>IF([1]DADOS!I153="MONOFÁSICO","X","")</f>
      </c>
      <c r="K172" s="73">
        <f>IF([1]DADOS!I153="BIFÁSICO","X","")</f>
      </c>
      <c r="L172" s="73">
        <f>IF([1]DADOS!I153="TRIFÁSICO","X","")</f>
      </c>
      <c r="M172" s="73">
        <f>IF([1]DADOS!H153="5M","X","")</f>
      </c>
      <c r="N172" s="73">
        <f>IF([1]DADOS!H153="7M","X","")</f>
      </c>
      <c r="O172" s="73">
        <f>IF([1]DADOS!H153="PP","X","")</f>
      </c>
      <c r="P172" s="73"/>
      <c r="Q172" s="73"/>
      <c r="R172" s="73"/>
      <c r="S172" s="79"/>
      <c r="T172" s="80"/>
      <c r="U172" s="78">
        <f>IF([1]DADOS!F153="","",[1]DADOS!F153)</f>
      </c>
      <c r="V172" s="81">
        <f>IF(C172="","",[1]DADOS!$D$8)</f>
      </c>
    </row>
    <row r="173" ht="21" customHeight="1" spans="2:22" x14ac:dyDescent="0.25">
      <c r="B173" s="73">
        <v>144</v>
      </c>
      <c r="C173" s="74">
        <f>IF([1]DADOS!D154="","",[1]DADOS!D154)</f>
      </c>
      <c r="D173" s="75"/>
      <c r="E173" s="76"/>
      <c r="F173" s="76"/>
      <c r="G173" s="77"/>
      <c r="H173" s="74"/>
      <c r="I173" s="78">
        <f>IF([1]DADOS!G154="","",[1]DADOS!G154)</f>
      </c>
      <c r="J173" s="73">
        <f>IF([1]DADOS!I154="MONOFÁSICO","X","")</f>
      </c>
      <c r="K173" s="73">
        <f>IF([1]DADOS!I154="BIFÁSICO","X","")</f>
      </c>
      <c r="L173" s="73">
        <f>IF([1]DADOS!I154="TRIFÁSICO","X","")</f>
      </c>
      <c r="M173" s="73">
        <f>IF([1]DADOS!H154="5M","X","")</f>
      </c>
      <c r="N173" s="73">
        <f>IF([1]DADOS!H154="7M","X","")</f>
      </c>
      <c r="O173" s="73">
        <f>IF([1]DADOS!H154="PP","X","")</f>
      </c>
      <c r="P173" s="73"/>
      <c r="Q173" s="73"/>
      <c r="R173" s="73"/>
      <c r="S173" s="79"/>
      <c r="T173" s="80"/>
      <c r="U173" s="78">
        <f>IF([1]DADOS!F154="","",[1]DADOS!F154)</f>
      </c>
      <c r="V173" s="81">
        <f>IF(C173="","",[1]DADOS!$D$8)</f>
      </c>
    </row>
    <row r="174" ht="21" customHeight="1" spans="2:22" x14ac:dyDescent="0.25">
      <c r="B174" s="73">
        <v>145</v>
      </c>
      <c r="C174" s="74">
        <f>IF([1]DADOS!D155="","",[1]DADOS!D155)</f>
      </c>
      <c r="D174" s="75"/>
      <c r="E174" s="76"/>
      <c r="F174" s="76"/>
      <c r="G174" s="77"/>
      <c r="H174" s="74"/>
      <c r="I174" s="78">
        <f>IF([1]DADOS!G155="","",[1]DADOS!G155)</f>
      </c>
      <c r="J174" s="73">
        <f>IF([1]DADOS!I155="MONOFÁSICO","X","")</f>
      </c>
      <c r="K174" s="73">
        <f>IF([1]DADOS!I155="BIFÁSICO","X","")</f>
      </c>
      <c r="L174" s="73">
        <f>IF([1]DADOS!I155="TRIFÁSICO","X","")</f>
      </c>
      <c r="M174" s="73">
        <f>IF([1]DADOS!H155="5M","X","")</f>
      </c>
      <c r="N174" s="73">
        <f>IF([1]DADOS!H155="7M","X","")</f>
      </c>
      <c r="O174" s="73">
        <f>IF([1]DADOS!H155="PP","X","")</f>
      </c>
      <c r="P174" s="73"/>
      <c r="Q174" s="73"/>
      <c r="R174" s="73"/>
      <c r="S174" s="79"/>
      <c r="T174" s="80"/>
      <c r="U174" s="78">
        <f>IF([1]DADOS!F155="","",[1]DADOS!F155)</f>
      </c>
      <c r="V174" s="81">
        <f>IF(C174="","",[1]DADOS!$D$8)</f>
      </c>
    </row>
    <row r="175" ht="21" customHeight="1" spans="2:22" x14ac:dyDescent="0.25">
      <c r="B175" s="73">
        <v>146</v>
      </c>
      <c r="C175" s="74">
        <f>IF([1]DADOS!D156="","",[1]DADOS!D156)</f>
      </c>
      <c r="D175" s="75"/>
      <c r="E175" s="76"/>
      <c r="F175" s="76"/>
      <c r="G175" s="77"/>
      <c r="H175" s="74"/>
      <c r="I175" s="78">
        <f>IF([1]DADOS!G156="","",[1]DADOS!G156)</f>
      </c>
      <c r="J175" s="73">
        <f>IF([1]DADOS!I156="MONOFÁSICO","X","")</f>
      </c>
      <c r="K175" s="73">
        <f>IF([1]DADOS!I156="BIFÁSICO","X","")</f>
      </c>
      <c r="L175" s="73">
        <f>IF([1]DADOS!I156="TRIFÁSICO","X","")</f>
      </c>
      <c r="M175" s="73">
        <f>IF([1]DADOS!H156="5M","X","")</f>
      </c>
      <c r="N175" s="73">
        <f>IF([1]DADOS!H156="7M","X","")</f>
      </c>
      <c r="O175" s="73">
        <f>IF([1]DADOS!H156="PP","X","")</f>
      </c>
      <c r="P175" s="73"/>
      <c r="Q175" s="73"/>
      <c r="R175" s="73"/>
      <c r="S175" s="79"/>
      <c r="T175" s="80"/>
      <c r="U175" s="78">
        <f>IF([1]DADOS!F156="","",[1]DADOS!F156)</f>
      </c>
      <c r="V175" s="81">
        <f>IF(C175="","",[1]DADOS!$D$8)</f>
      </c>
    </row>
    <row r="176" ht="21" customHeight="1" spans="2:22" x14ac:dyDescent="0.25">
      <c r="B176" s="73">
        <v>147</v>
      </c>
      <c r="C176" s="74">
        <f>IF([1]DADOS!D157="","",[1]DADOS!D157)</f>
      </c>
      <c r="D176" s="75"/>
      <c r="E176" s="76"/>
      <c r="F176" s="76"/>
      <c r="G176" s="77"/>
      <c r="H176" s="74"/>
      <c r="I176" s="78">
        <f>IF([1]DADOS!G157="","",[1]DADOS!G157)</f>
      </c>
      <c r="J176" s="73">
        <f>IF([1]DADOS!I157="MONOFÁSICO","X","")</f>
      </c>
      <c r="K176" s="73">
        <f>IF([1]DADOS!I157="BIFÁSICO","X","")</f>
      </c>
      <c r="L176" s="73">
        <f>IF([1]DADOS!I157="TRIFÁSICO","X","")</f>
      </c>
      <c r="M176" s="73">
        <f>IF([1]DADOS!H157="5M","X","")</f>
      </c>
      <c r="N176" s="73">
        <f>IF([1]DADOS!H157="7M","X","")</f>
      </c>
      <c r="O176" s="73">
        <f>IF([1]DADOS!H157="PP","X","")</f>
      </c>
      <c r="P176" s="73"/>
      <c r="Q176" s="73"/>
      <c r="R176" s="73"/>
      <c r="S176" s="79"/>
      <c r="T176" s="80"/>
      <c r="U176" s="78">
        <f>IF([1]DADOS!F157="","",[1]DADOS!F157)</f>
      </c>
      <c r="V176" s="81">
        <f>IF(C176="","",[1]DADOS!$D$8)</f>
      </c>
    </row>
    <row r="177" ht="21" customHeight="1" spans="2:22" x14ac:dyDescent="0.25">
      <c r="B177" s="73">
        <v>148</v>
      </c>
      <c r="C177" s="74">
        <f>IF([1]DADOS!D158="","",[1]DADOS!D158)</f>
      </c>
      <c r="D177" s="75"/>
      <c r="E177" s="76"/>
      <c r="F177" s="76"/>
      <c r="G177" s="77"/>
      <c r="H177" s="74"/>
      <c r="I177" s="78">
        <f>IF([1]DADOS!G158="","",[1]DADOS!G158)</f>
      </c>
      <c r="J177" s="73">
        <f>IF([1]DADOS!I158="MONOFÁSICO","X","")</f>
      </c>
      <c r="K177" s="73">
        <f>IF([1]DADOS!I158="BIFÁSICO","X","")</f>
      </c>
      <c r="L177" s="73">
        <f>IF([1]DADOS!I158="TRIFÁSICO","X","")</f>
      </c>
      <c r="M177" s="73">
        <f>IF([1]DADOS!H158="5M","X","")</f>
      </c>
      <c r="N177" s="73">
        <f>IF([1]DADOS!H158="7M","X","")</f>
      </c>
      <c r="O177" s="73">
        <f>IF([1]DADOS!H158="PP","X","")</f>
      </c>
      <c r="P177" s="73"/>
      <c r="Q177" s="73"/>
      <c r="R177" s="73"/>
      <c r="S177" s="79"/>
      <c r="T177" s="80"/>
      <c r="U177" s="78">
        <f>IF([1]DADOS!F158="","",[1]DADOS!F158)</f>
      </c>
      <c r="V177" s="81">
        <f>IF(C177="","",[1]DADOS!$D$8)</f>
      </c>
    </row>
    <row r="178" ht="21" customHeight="1" spans="2:22" x14ac:dyDescent="0.25">
      <c r="B178" s="73">
        <v>149</v>
      </c>
      <c r="C178" s="74">
        <f>IF([1]DADOS!D159="","",[1]DADOS!D159)</f>
      </c>
      <c r="D178" s="75"/>
      <c r="E178" s="76"/>
      <c r="F178" s="76"/>
      <c r="G178" s="77"/>
      <c r="H178" s="74"/>
      <c r="I178" s="78">
        <f>IF([1]DADOS!G159="","",[1]DADOS!G159)</f>
      </c>
      <c r="J178" s="73">
        <f>IF([1]DADOS!I159="MONOFÁSICO","X","")</f>
      </c>
      <c r="K178" s="73">
        <f>IF([1]DADOS!I159="BIFÁSICO","X","")</f>
      </c>
      <c r="L178" s="73">
        <f>IF([1]DADOS!I159="TRIFÁSICO","X","")</f>
      </c>
      <c r="M178" s="73">
        <f>IF([1]DADOS!H159="5M","X","")</f>
      </c>
      <c r="N178" s="73">
        <f>IF([1]DADOS!H159="7M","X","")</f>
      </c>
      <c r="O178" s="73">
        <f>IF([1]DADOS!H159="PP","X","")</f>
      </c>
      <c r="P178" s="73"/>
      <c r="Q178" s="73"/>
      <c r="R178" s="73"/>
      <c r="S178" s="79"/>
      <c r="T178" s="80"/>
      <c r="U178" s="78">
        <f>IF([1]DADOS!F159="","",[1]DADOS!F159)</f>
      </c>
      <c r="V178" s="81">
        <f>IF(C178="","",[1]DADOS!$D$8)</f>
      </c>
    </row>
    <row r="179" ht="21" customHeight="1" spans="2:22" x14ac:dyDescent="0.25">
      <c r="B179" s="73">
        <v>150</v>
      </c>
      <c r="C179" s="74">
        <f>IF([1]DADOS!D160="","",[1]DADOS!D160)</f>
      </c>
      <c r="D179" s="75"/>
      <c r="E179" s="76"/>
      <c r="F179" s="76"/>
      <c r="G179" s="77"/>
      <c r="H179" s="74"/>
      <c r="I179" s="78">
        <f>IF([1]DADOS!G160="","",[1]DADOS!G160)</f>
      </c>
      <c r="J179" s="73">
        <f>IF([1]DADOS!I160="MONOFÁSICO","X","")</f>
      </c>
      <c r="K179" s="73">
        <f>IF([1]DADOS!I160="BIFÁSICO","X","")</f>
      </c>
      <c r="L179" s="73">
        <f>IF([1]DADOS!I160="TRIFÁSICO","X","")</f>
      </c>
      <c r="M179" s="73">
        <f>IF([1]DADOS!H160="5M","X","")</f>
      </c>
      <c r="N179" s="73">
        <f>IF([1]DADOS!H160="7M","X","")</f>
      </c>
      <c r="O179" s="73">
        <f>IF([1]DADOS!H160="PP","X","")</f>
      </c>
      <c r="P179" s="73"/>
      <c r="Q179" s="73"/>
      <c r="R179" s="73"/>
      <c r="S179" s="79"/>
      <c r="T179" s="80"/>
      <c r="U179" s="78">
        <f>IF([1]DADOS!F160="","",[1]DADOS!F160)</f>
      </c>
      <c r="V179" s="81">
        <f>IF(C179="","",[1]DADOS!$D$8)</f>
      </c>
    </row>
    <row r="180" ht="21" customHeight="1" spans="2:22" x14ac:dyDescent="0.25">
      <c r="B180" s="73">
        <v>151</v>
      </c>
      <c r="C180" s="74">
        <f>IF([1]DADOS!D161="","",[1]DADOS!D161)</f>
      </c>
      <c r="D180" s="75"/>
      <c r="E180" s="76"/>
      <c r="F180" s="76"/>
      <c r="G180" s="77"/>
      <c r="H180" s="74"/>
      <c r="I180" s="78">
        <f>IF([1]DADOS!G161="","",[1]DADOS!G161)</f>
      </c>
      <c r="J180" s="73">
        <f>IF([1]DADOS!I161="MONOFÁSICO","X","")</f>
      </c>
      <c r="K180" s="73">
        <f>IF([1]DADOS!I161="BIFÁSICO","X","")</f>
      </c>
      <c r="L180" s="73">
        <f>IF([1]DADOS!I161="TRIFÁSICO","X","")</f>
      </c>
      <c r="M180" s="73">
        <f>IF([1]DADOS!H161="5M","X","")</f>
      </c>
      <c r="N180" s="73">
        <f>IF([1]DADOS!H161="7M","X","")</f>
      </c>
      <c r="O180" s="73">
        <f>IF([1]DADOS!H161="PP","X","")</f>
      </c>
      <c r="P180" s="73"/>
      <c r="Q180" s="73"/>
      <c r="R180" s="73"/>
      <c r="S180" s="79"/>
      <c r="T180" s="80"/>
      <c r="U180" s="78">
        <f>IF([1]DADOS!F161="","",[1]DADOS!F161)</f>
      </c>
      <c r="V180" s="81">
        <f>IF(C180="","",[1]DADOS!$D$8)</f>
      </c>
    </row>
    <row r="181" ht="21" customHeight="1" spans="2:22" x14ac:dyDescent="0.25">
      <c r="B181" s="73">
        <v>152</v>
      </c>
      <c r="C181" s="74">
        <f>IF([1]DADOS!D162="","",[1]DADOS!D162)</f>
      </c>
      <c r="D181" s="75"/>
      <c r="E181" s="76"/>
      <c r="F181" s="76"/>
      <c r="G181" s="77"/>
      <c r="H181" s="74"/>
      <c r="I181" s="78">
        <f>IF([1]DADOS!G162="","",[1]DADOS!G162)</f>
      </c>
      <c r="J181" s="73">
        <f>IF([1]DADOS!I162="MONOFÁSICO","X","")</f>
      </c>
      <c r="K181" s="73">
        <f>IF([1]DADOS!I162="BIFÁSICO","X","")</f>
      </c>
      <c r="L181" s="73">
        <f>IF([1]DADOS!I162="TRIFÁSICO","X","")</f>
      </c>
      <c r="M181" s="73">
        <f>IF([1]DADOS!H162="5M","X","")</f>
      </c>
      <c r="N181" s="73">
        <f>IF([1]DADOS!H162="7M","X","")</f>
      </c>
      <c r="O181" s="73">
        <f>IF([1]DADOS!H162="PP","X","")</f>
      </c>
      <c r="P181" s="73"/>
      <c r="Q181" s="73"/>
      <c r="R181" s="73"/>
      <c r="S181" s="79"/>
      <c r="T181" s="80"/>
      <c r="U181" s="78">
        <f>IF([1]DADOS!F162="","",[1]DADOS!F162)</f>
      </c>
      <c r="V181" s="81">
        <f>IF(C181="","",[1]DADOS!$D$8)</f>
      </c>
    </row>
    <row r="182" ht="21" customHeight="1" spans="2:22" x14ac:dyDescent="0.25">
      <c r="B182" s="73">
        <v>153</v>
      </c>
      <c r="C182" s="74">
        <f>IF([1]DADOS!D163="","",[1]DADOS!D163)</f>
      </c>
      <c r="D182" s="75"/>
      <c r="E182" s="76"/>
      <c r="F182" s="76"/>
      <c r="G182" s="77"/>
      <c r="H182" s="74"/>
      <c r="I182" s="78">
        <f>IF([1]DADOS!G163="","",[1]DADOS!G163)</f>
      </c>
      <c r="J182" s="73">
        <f>IF([1]DADOS!I163="MONOFÁSICO","X","")</f>
      </c>
      <c r="K182" s="73">
        <f>IF([1]DADOS!I163="BIFÁSICO","X","")</f>
      </c>
      <c r="L182" s="73">
        <f>IF([1]DADOS!I163="TRIFÁSICO","X","")</f>
      </c>
      <c r="M182" s="73">
        <f>IF([1]DADOS!H163="5M","X","")</f>
      </c>
      <c r="N182" s="73">
        <f>IF([1]DADOS!H163="7M","X","")</f>
      </c>
      <c r="O182" s="73">
        <f>IF([1]DADOS!H163="PP","X","")</f>
      </c>
      <c r="P182" s="73"/>
      <c r="Q182" s="73"/>
      <c r="R182" s="73"/>
      <c r="S182" s="79"/>
      <c r="T182" s="80"/>
      <c r="U182" s="78">
        <f>IF([1]DADOS!F163="","",[1]DADOS!F163)</f>
      </c>
      <c r="V182" s="81">
        <f>IF(C182="","",[1]DADOS!$D$8)</f>
      </c>
    </row>
    <row r="183" ht="21" customHeight="1" spans="2:22" x14ac:dyDescent="0.25">
      <c r="B183" s="73">
        <v>154</v>
      </c>
      <c r="C183" s="74">
        <f>IF([1]DADOS!D164="","",[1]DADOS!D164)</f>
      </c>
      <c r="D183" s="75"/>
      <c r="E183" s="76"/>
      <c r="F183" s="76"/>
      <c r="G183" s="77"/>
      <c r="H183" s="74"/>
      <c r="I183" s="78">
        <f>IF([1]DADOS!G164="","",[1]DADOS!G164)</f>
      </c>
      <c r="J183" s="73">
        <f>IF([1]DADOS!I164="MONOFÁSICO","X","")</f>
      </c>
      <c r="K183" s="73">
        <f>IF([1]DADOS!I164="BIFÁSICO","X","")</f>
      </c>
      <c r="L183" s="73">
        <f>IF([1]DADOS!I164="TRIFÁSICO","X","")</f>
      </c>
      <c r="M183" s="73">
        <f>IF([1]DADOS!H164="5M","X","")</f>
      </c>
      <c r="N183" s="73">
        <f>IF([1]DADOS!H164="7M","X","")</f>
      </c>
      <c r="O183" s="73">
        <f>IF([1]DADOS!H164="PP","X","")</f>
      </c>
      <c r="P183" s="73"/>
      <c r="Q183" s="73"/>
      <c r="R183" s="73"/>
      <c r="S183" s="79"/>
      <c r="T183" s="80"/>
      <c r="U183" s="78">
        <f>IF([1]DADOS!F164="","",[1]DADOS!F164)</f>
      </c>
      <c r="V183" s="81">
        <f>IF(C183="","",[1]DADOS!$D$8)</f>
      </c>
    </row>
    <row r="184" ht="21" customHeight="1" spans="2:22" x14ac:dyDescent="0.25">
      <c r="B184" s="73">
        <v>155</v>
      </c>
      <c r="C184" s="74">
        <f>IF([1]DADOS!D165="","",[1]DADOS!D165)</f>
      </c>
      <c r="D184" s="75"/>
      <c r="E184" s="76"/>
      <c r="F184" s="76"/>
      <c r="G184" s="77"/>
      <c r="H184" s="74"/>
      <c r="I184" s="78">
        <f>IF([1]DADOS!G165="","",[1]DADOS!G165)</f>
      </c>
      <c r="J184" s="73">
        <f>IF([1]DADOS!I165="MONOFÁSICO","X","")</f>
      </c>
      <c r="K184" s="73">
        <f>IF([1]DADOS!I165="BIFÁSICO","X","")</f>
      </c>
      <c r="L184" s="73">
        <f>IF([1]DADOS!I165="TRIFÁSICO","X","")</f>
      </c>
      <c r="M184" s="73">
        <f>IF([1]DADOS!H165="5M","X","")</f>
      </c>
      <c r="N184" s="73">
        <f>IF([1]DADOS!H165="7M","X","")</f>
      </c>
      <c r="O184" s="73">
        <f>IF([1]DADOS!H165="PP","X","")</f>
      </c>
      <c r="P184" s="73"/>
      <c r="Q184" s="73"/>
      <c r="R184" s="73"/>
      <c r="S184" s="79"/>
      <c r="T184" s="80"/>
      <c r="U184" s="78">
        <f>IF([1]DADOS!F165="","",[1]DADOS!F165)</f>
      </c>
      <c r="V184" s="81">
        <f>IF(C184="","",[1]DADOS!$D$8)</f>
      </c>
    </row>
    <row r="185" ht="21" customHeight="1" spans="2:22" x14ac:dyDescent="0.25">
      <c r="B185" s="73">
        <v>156</v>
      </c>
      <c r="C185" s="74">
        <f>IF([1]DADOS!D166="","",[1]DADOS!D166)</f>
      </c>
      <c r="D185" s="75"/>
      <c r="E185" s="76"/>
      <c r="F185" s="76"/>
      <c r="G185" s="77"/>
      <c r="H185" s="74"/>
      <c r="I185" s="78">
        <f>IF([1]DADOS!G166="","",[1]DADOS!G166)</f>
      </c>
      <c r="J185" s="73">
        <f>IF([1]DADOS!I166="MONOFÁSICO","X","")</f>
      </c>
      <c r="K185" s="73">
        <f>IF([1]DADOS!I166="BIFÁSICO","X","")</f>
      </c>
      <c r="L185" s="73">
        <f>IF([1]DADOS!I166="TRIFÁSICO","X","")</f>
      </c>
      <c r="M185" s="73">
        <f>IF([1]DADOS!H166="5M","X","")</f>
      </c>
      <c r="N185" s="73">
        <f>IF([1]DADOS!H166="7M","X","")</f>
      </c>
      <c r="O185" s="73">
        <f>IF([1]DADOS!H166="PP","X","")</f>
      </c>
      <c r="P185" s="73"/>
      <c r="Q185" s="73"/>
      <c r="R185" s="73"/>
      <c r="S185" s="79"/>
      <c r="T185" s="80"/>
      <c r="U185" s="78">
        <f>IF([1]DADOS!F166="","",[1]DADOS!F166)</f>
      </c>
      <c r="V185" s="81">
        <f>IF(C185="","",[1]DADOS!$D$8)</f>
      </c>
    </row>
    <row r="186" ht="21" customHeight="1" spans="2:22" x14ac:dyDescent="0.25">
      <c r="B186" s="73">
        <v>157</v>
      </c>
      <c r="C186" s="74">
        <f>IF([1]DADOS!D167="","",[1]DADOS!D167)</f>
      </c>
      <c r="D186" s="75"/>
      <c r="E186" s="76"/>
      <c r="F186" s="76"/>
      <c r="G186" s="77"/>
      <c r="H186" s="74"/>
      <c r="I186" s="78">
        <f>IF([1]DADOS!G167="","",[1]DADOS!G167)</f>
      </c>
      <c r="J186" s="73">
        <f>IF([1]DADOS!I167="MONOFÁSICO","X","")</f>
      </c>
      <c r="K186" s="73">
        <f>IF([1]DADOS!I167="BIFÁSICO","X","")</f>
      </c>
      <c r="L186" s="73">
        <f>IF([1]DADOS!I167="TRIFÁSICO","X","")</f>
      </c>
      <c r="M186" s="73">
        <f>IF([1]DADOS!H167="5M","X","")</f>
      </c>
      <c r="N186" s="73">
        <f>IF([1]DADOS!H167="7M","X","")</f>
      </c>
      <c r="O186" s="73">
        <f>IF([1]DADOS!H167="PP","X","")</f>
      </c>
      <c r="P186" s="73"/>
      <c r="Q186" s="73"/>
      <c r="R186" s="73"/>
      <c r="S186" s="79"/>
      <c r="T186" s="80"/>
      <c r="U186" s="78">
        <f>IF([1]DADOS!F167="","",[1]DADOS!F167)</f>
      </c>
      <c r="V186" s="81">
        <f>IF(C186="","",[1]DADOS!$D$8)</f>
      </c>
    </row>
    <row r="187" ht="21" customHeight="1" spans="2:22" x14ac:dyDescent="0.25">
      <c r="B187" s="73">
        <v>158</v>
      </c>
      <c r="C187" s="74">
        <f>IF([1]DADOS!D168="","",[1]DADOS!D168)</f>
      </c>
      <c r="D187" s="75"/>
      <c r="E187" s="76"/>
      <c r="F187" s="76"/>
      <c r="G187" s="77"/>
      <c r="H187" s="74"/>
      <c r="I187" s="78">
        <f>IF([1]DADOS!G168="","",[1]DADOS!G168)</f>
      </c>
      <c r="J187" s="73">
        <f>IF([1]DADOS!I168="MONOFÁSICO","X","")</f>
      </c>
      <c r="K187" s="73">
        <f>IF([1]DADOS!I168="BIFÁSICO","X","")</f>
      </c>
      <c r="L187" s="73">
        <f>IF([1]DADOS!I168="TRIFÁSICO","X","")</f>
      </c>
      <c r="M187" s="73">
        <f>IF([1]DADOS!H168="5M","X","")</f>
      </c>
      <c r="N187" s="73">
        <f>IF([1]DADOS!H168="7M","X","")</f>
      </c>
      <c r="O187" s="73">
        <f>IF([1]DADOS!H168="PP","X","")</f>
      </c>
      <c r="P187" s="73"/>
      <c r="Q187" s="73"/>
      <c r="R187" s="73"/>
      <c r="S187" s="79"/>
      <c r="T187" s="80"/>
      <c r="U187" s="78">
        <f>IF([1]DADOS!F168="","",[1]DADOS!F168)</f>
      </c>
      <c r="V187" s="81">
        <f>IF(C187="","",[1]DADOS!$D$8)</f>
      </c>
    </row>
    <row r="188" ht="21" customHeight="1" spans="2:22" x14ac:dyDescent="0.25">
      <c r="B188" s="73">
        <v>159</v>
      </c>
      <c r="C188" s="74">
        <f>IF([1]DADOS!D169="","",[1]DADOS!D169)</f>
      </c>
      <c r="D188" s="75"/>
      <c r="E188" s="76"/>
      <c r="F188" s="76"/>
      <c r="G188" s="77"/>
      <c r="H188" s="74"/>
      <c r="I188" s="78">
        <f>IF([1]DADOS!G169="","",[1]DADOS!G169)</f>
      </c>
      <c r="J188" s="73">
        <f>IF([1]DADOS!I169="MONOFÁSICO","X","")</f>
      </c>
      <c r="K188" s="73">
        <f>IF([1]DADOS!I169="BIFÁSICO","X","")</f>
      </c>
      <c r="L188" s="73">
        <f>IF([1]DADOS!I169="TRIFÁSICO","X","")</f>
      </c>
      <c r="M188" s="73">
        <f>IF([1]DADOS!H169="5M","X","")</f>
      </c>
      <c r="N188" s="73">
        <f>IF([1]DADOS!H169="7M","X","")</f>
      </c>
      <c r="O188" s="73">
        <f>IF([1]DADOS!H169="PP","X","")</f>
      </c>
      <c r="P188" s="73"/>
      <c r="Q188" s="73"/>
      <c r="R188" s="73"/>
      <c r="S188" s="79"/>
      <c r="T188" s="80"/>
      <c r="U188" s="78">
        <f>IF([1]DADOS!F169="","",[1]DADOS!F169)</f>
      </c>
      <c r="V188" s="81">
        <f>IF(C188="","",[1]DADOS!$D$8)</f>
      </c>
    </row>
    <row r="189" ht="21" customHeight="1" spans="2:22" x14ac:dyDescent="0.25">
      <c r="B189" s="73">
        <v>160</v>
      </c>
      <c r="C189" s="74">
        <f>IF([1]DADOS!D170="","",[1]DADOS!D170)</f>
      </c>
      <c r="D189" s="75"/>
      <c r="E189" s="76"/>
      <c r="F189" s="76"/>
      <c r="G189" s="77"/>
      <c r="H189" s="74"/>
      <c r="I189" s="78">
        <f>IF([1]DADOS!G170="","",[1]DADOS!G170)</f>
      </c>
      <c r="J189" s="73">
        <f>IF([1]DADOS!I170="MONOFÁSICO","X","")</f>
      </c>
      <c r="K189" s="73">
        <f>IF([1]DADOS!I170="BIFÁSICO","X","")</f>
      </c>
      <c r="L189" s="73">
        <f>IF([1]DADOS!I170="TRIFÁSICO","X","")</f>
      </c>
      <c r="M189" s="73">
        <f>IF([1]DADOS!H170="5M","X","")</f>
      </c>
      <c r="N189" s="73">
        <f>IF([1]DADOS!H170="7M","X","")</f>
      </c>
      <c r="O189" s="73">
        <f>IF([1]DADOS!H170="PP","X","")</f>
      </c>
      <c r="P189" s="73"/>
      <c r="Q189" s="73"/>
      <c r="R189" s="73"/>
      <c r="S189" s="79"/>
      <c r="T189" s="80"/>
      <c r="U189" s="78">
        <f>IF([1]DADOS!F170="","",[1]DADOS!F170)</f>
      </c>
      <c r="V189" s="81">
        <f>IF(C189="","",[1]DADOS!$D$8)</f>
      </c>
    </row>
    <row r="190" ht="21" customHeight="1" spans="2:22" x14ac:dyDescent="0.25">
      <c r="B190" s="73">
        <v>161</v>
      </c>
      <c r="C190" s="74">
        <f>IF([1]DADOS!D171="","",[1]DADOS!D171)</f>
      </c>
      <c r="D190" s="75"/>
      <c r="E190" s="76"/>
      <c r="F190" s="76"/>
      <c r="G190" s="77"/>
      <c r="H190" s="74"/>
      <c r="I190" s="78">
        <f>IF([1]DADOS!G171="","",[1]DADOS!G171)</f>
      </c>
      <c r="J190" s="73">
        <f>IF([1]DADOS!I171="MONOFÁSICO","X","")</f>
      </c>
      <c r="K190" s="73">
        <f>IF([1]DADOS!I171="BIFÁSICO","X","")</f>
      </c>
      <c r="L190" s="73">
        <f>IF([1]DADOS!I171="TRIFÁSICO","X","")</f>
      </c>
      <c r="M190" s="73">
        <f>IF([1]DADOS!H171="5M","X","")</f>
      </c>
      <c r="N190" s="73">
        <f>IF([1]DADOS!H171="7M","X","")</f>
      </c>
      <c r="O190" s="73">
        <f>IF([1]DADOS!H171="PP","X","")</f>
      </c>
      <c r="P190" s="73"/>
      <c r="Q190" s="73"/>
      <c r="R190" s="73"/>
      <c r="S190" s="79"/>
      <c r="T190" s="80"/>
      <c r="U190" s="78">
        <f>IF([1]DADOS!F171="","",[1]DADOS!F171)</f>
      </c>
      <c r="V190" s="81">
        <f>IF(C190="","",[1]DADOS!$D$8)</f>
      </c>
    </row>
    <row r="191" ht="21" customHeight="1" spans="2:22" x14ac:dyDescent="0.25">
      <c r="B191" s="73">
        <v>162</v>
      </c>
      <c r="C191" s="74">
        <f>IF([1]DADOS!D172="","",[1]DADOS!D172)</f>
      </c>
      <c r="D191" s="75"/>
      <c r="E191" s="76"/>
      <c r="F191" s="76"/>
      <c r="G191" s="77"/>
      <c r="H191" s="74"/>
      <c r="I191" s="78">
        <f>IF([1]DADOS!G172="","",[1]DADOS!G172)</f>
      </c>
      <c r="J191" s="73">
        <f>IF([1]DADOS!I172="MONOFÁSICO","X","")</f>
      </c>
      <c r="K191" s="73">
        <f>IF([1]DADOS!I172="BIFÁSICO","X","")</f>
      </c>
      <c r="L191" s="73">
        <f>IF([1]DADOS!I172="TRIFÁSICO","X","")</f>
      </c>
      <c r="M191" s="73">
        <f>IF([1]DADOS!H172="5M","X","")</f>
      </c>
      <c r="N191" s="73">
        <f>IF([1]DADOS!H172="7M","X","")</f>
      </c>
      <c r="O191" s="73">
        <f>IF([1]DADOS!H172="PP","X","")</f>
      </c>
      <c r="P191" s="73"/>
      <c r="Q191" s="73"/>
      <c r="R191" s="73"/>
      <c r="S191" s="79"/>
      <c r="T191" s="80"/>
      <c r="U191" s="78">
        <f>IF([1]DADOS!F172="","",[1]DADOS!F172)</f>
      </c>
      <c r="V191" s="81">
        <f>IF(C191="","",[1]DADOS!$D$8)</f>
      </c>
    </row>
    <row r="192" ht="21" customHeight="1" spans="2:22" x14ac:dyDescent="0.25">
      <c r="B192" s="73">
        <v>163</v>
      </c>
      <c r="C192" s="74">
        <f>IF([1]DADOS!D173="","",[1]DADOS!D173)</f>
      </c>
      <c r="D192" s="75"/>
      <c r="E192" s="76"/>
      <c r="F192" s="76"/>
      <c r="G192" s="77"/>
      <c r="H192" s="74"/>
      <c r="I192" s="78">
        <f>IF([1]DADOS!G173="","",[1]DADOS!G173)</f>
      </c>
      <c r="J192" s="73">
        <f>IF([1]DADOS!I173="MONOFÁSICO","X","")</f>
      </c>
      <c r="K192" s="73">
        <f>IF([1]DADOS!I173="BIFÁSICO","X","")</f>
      </c>
      <c r="L192" s="73">
        <f>IF([1]DADOS!I173="TRIFÁSICO","X","")</f>
      </c>
      <c r="M192" s="73">
        <f>IF([1]DADOS!H173="5M","X","")</f>
      </c>
      <c r="N192" s="73">
        <f>IF([1]DADOS!H173="7M","X","")</f>
      </c>
      <c r="O192" s="73">
        <f>IF([1]DADOS!H173="PP","X","")</f>
      </c>
      <c r="P192" s="73"/>
      <c r="Q192" s="73"/>
      <c r="R192" s="73"/>
      <c r="S192" s="79"/>
      <c r="T192" s="80"/>
      <c r="U192" s="78">
        <f>IF([1]DADOS!F173="","",[1]DADOS!F173)</f>
      </c>
      <c r="V192" s="81">
        <f>IF(C192="","",[1]DADOS!$D$8)</f>
      </c>
    </row>
    <row r="193" ht="21" customHeight="1" spans="2:22" x14ac:dyDescent="0.25">
      <c r="B193" s="73">
        <v>164</v>
      </c>
      <c r="C193" s="74">
        <f>IF([1]DADOS!D174="","",[1]DADOS!D174)</f>
      </c>
      <c r="D193" s="75"/>
      <c r="E193" s="76"/>
      <c r="F193" s="76"/>
      <c r="G193" s="77"/>
      <c r="H193" s="74"/>
      <c r="I193" s="78">
        <f>IF([1]DADOS!G174="","",[1]DADOS!G174)</f>
      </c>
      <c r="J193" s="73">
        <f>IF([1]DADOS!I174="MONOFÁSICO","X","")</f>
      </c>
      <c r="K193" s="73">
        <f>IF([1]DADOS!I174="BIFÁSICO","X","")</f>
      </c>
      <c r="L193" s="73">
        <f>IF([1]DADOS!I174="TRIFÁSICO","X","")</f>
      </c>
      <c r="M193" s="73">
        <f>IF([1]DADOS!H174="5M","X","")</f>
      </c>
      <c r="N193" s="73">
        <f>IF([1]DADOS!H174="7M","X","")</f>
      </c>
      <c r="O193" s="73">
        <f>IF([1]DADOS!H174="PP","X","")</f>
      </c>
      <c r="P193" s="73"/>
      <c r="Q193" s="73"/>
      <c r="R193" s="73"/>
      <c r="S193" s="79"/>
      <c r="T193" s="80"/>
      <c r="U193" s="78">
        <f>IF([1]DADOS!F174="","",[1]DADOS!F174)</f>
      </c>
      <c r="V193" s="81">
        <f>IF(C193="","",[1]DADOS!$D$8)</f>
      </c>
    </row>
    <row r="194" ht="21" customHeight="1" spans="2:22" x14ac:dyDescent="0.25">
      <c r="B194" s="73">
        <v>165</v>
      </c>
      <c r="C194" s="74">
        <f>IF([1]DADOS!D175="","",[1]DADOS!D175)</f>
      </c>
      <c r="D194" s="75"/>
      <c r="E194" s="76"/>
      <c r="F194" s="76"/>
      <c r="G194" s="77"/>
      <c r="H194" s="74"/>
      <c r="I194" s="78">
        <f>IF([1]DADOS!G175="","",[1]DADOS!G175)</f>
      </c>
      <c r="J194" s="73">
        <f>IF([1]DADOS!I175="MONOFÁSICO","X","")</f>
      </c>
      <c r="K194" s="73">
        <f>IF([1]DADOS!I175="BIFÁSICO","X","")</f>
      </c>
      <c r="L194" s="73">
        <f>IF([1]DADOS!I175="TRIFÁSICO","X","")</f>
      </c>
      <c r="M194" s="73">
        <f>IF([1]DADOS!H175="5M","X","")</f>
      </c>
      <c r="N194" s="73">
        <f>IF([1]DADOS!H175="7M","X","")</f>
      </c>
      <c r="O194" s="73">
        <f>IF([1]DADOS!H175="PP","X","")</f>
      </c>
      <c r="P194" s="73"/>
      <c r="Q194" s="73"/>
      <c r="R194" s="73"/>
      <c r="S194" s="79"/>
      <c r="T194" s="80"/>
      <c r="U194" s="78">
        <f>IF([1]DADOS!F175="","",[1]DADOS!F175)</f>
      </c>
      <c r="V194" s="81">
        <f>IF(C194="","",[1]DADOS!$D$8)</f>
      </c>
    </row>
    <row r="195" ht="21" customHeight="1" spans="2:22" x14ac:dyDescent="0.25">
      <c r="B195" s="73">
        <v>166</v>
      </c>
      <c r="C195" s="74">
        <f>IF([1]DADOS!D176="","",[1]DADOS!D176)</f>
      </c>
      <c r="D195" s="75"/>
      <c r="E195" s="76"/>
      <c r="F195" s="76"/>
      <c r="G195" s="77"/>
      <c r="H195" s="74"/>
      <c r="I195" s="78">
        <f>IF([1]DADOS!G176="","",[1]DADOS!G176)</f>
      </c>
      <c r="J195" s="73">
        <f>IF([1]DADOS!I176="MONOFÁSICO","X","")</f>
      </c>
      <c r="K195" s="73">
        <f>IF([1]DADOS!I176="BIFÁSICO","X","")</f>
      </c>
      <c r="L195" s="73">
        <f>IF([1]DADOS!I176="TRIFÁSICO","X","")</f>
      </c>
      <c r="M195" s="73">
        <f>IF([1]DADOS!H176="5M","X","")</f>
      </c>
      <c r="N195" s="73">
        <f>IF([1]DADOS!H176="7M","X","")</f>
      </c>
      <c r="O195" s="73">
        <f>IF([1]DADOS!H176="PP","X","")</f>
      </c>
      <c r="P195" s="73"/>
      <c r="Q195" s="73"/>
      <c r="R195" s="73"/>
      <c r="S195" s="79"/>
      <c r="T195" s="80"/>
      <c r="U195" s="78">
        <f>IF([1]DADOS!F176="","",[1]DADOS!F176)</f>
      </c>
      <c r="V195" s="81">
        <f>IF(C195="","",[1]DADOS!$D$8)</f>
      </c>
    </row>
    <row r="196" ht="21" customHeight="1" spans="2:22" x14ac:dyDescent="0.25">
      <c r="B196" s="73">
        <v>167</v>
      </c>
      <c r="C196" s="74">
        <f>IF([1]DADOS!D177="","",[1]DADOS!D177)</f>
      </c>
      <c r="D196" s="75"/>
      <c r="E196" s="76"/>
      <c r="F196" s="76"/>
      <c r="G196" s="77"/>
      <c r="H196" s="74"/>
      <c r="I196" s="78">
        <f>IF([1]DADOS!G177="","",[1]DADOS!G177)</f>
      </c>
      <c r="J196" s="73">
        <f>IF([1]DADOS!I177="MONOFÁSICO","X","")</f>
      </c>
      <c r="K196" s="73">
        <f>IF([1]DADOS!I177="BIFÁSICO","X","")</f>
      </c>
      <c r="L196" s="73">
        <f>IF([1]DADOS!I177="TRIFÁSICO","X","")</f>
      </c>
      <c r="M196" s="73">
        <f>IF([1]DADOS!H177="5M","X","")</f>
      </c>
      <c r="N196" s="73">
        <f>IF([1]DADOS!H177="7M","X","")</f>
      </c>
      <c r="O196" s="73">
        <f>IF([1]DADOS!H177="PP","X","")</f>
      </c>
      <c r="P196" s="73"/>
      <c r="Q196" s="73"/>
      <c r="R196" s="73"/>
      <c r="S196" s="79"/>
      <c r="T196" s="80"/>
      <c r="U196" s="78">
        <f>IF([1]DADOS!F177="","",[1]DADOS!F177)</f>
      </c>
      <c r="V196" s="81">
        <f>IF(C196="","",[1]DADOS!$D$8)</f>
      </c>
    </row>
    <row r="197" ht="21" customHeight="1" spans="2:22" x14ac:dyDescent="0.25">
      <c r="B197" s="73">
        <v>168</v>
      </c>
      <c r="C197" s="74">
        <f>IF([1]DADOS!D178="","",[1]DADOS!D178)</f>
      </c>
      <c r="D197" s="75"/>
      <c r="E197" s="76"/>
      <c r="F197" s="76"/>
      <c r="G197" s="77"/>
      <c r="H197" s="74"/>
      <c r="I197" s="78">
        <f>IF([1]DADOS!G178="","",[1]DADOS!G178)</f>
      </c>
      <c r="J197" s="73">
        <f>IF([1]DADOS!I178="MONOFÁSICO","X","")</f>
      </c>
      <c r="K197" s="73">
        <f>IF([1]DADOS!I178="BIFÁSICO","X","")</f>
      </c>
      <c r="L197" s="73">
        <f>IF([1]DADOS!I178="TRIFÁSICO","X","")</f>
      </c>
      <c r="M197" s="73">
        <f>IF([1]DADOS!H178="5M","X","")</f>
      </c>
      <c r="N197" s="73">
        <f>IF([1]DADOS!H178="7M","X","")</f>
      </c>
      <c r="O197" s="73">
        <f>IF([1]DADOS!H178="PP","X","")</f>
      </c>
      <c r="P197" s="73"/>
      <c r="Q197" s="73"/>
      <c r="R197" s="73"/>
      <c r="S197" s="79"/>
      <c r="T197" s="80"/>
      <c r="U197" s="78">
        <f>IF([1]DADOS!F178="","",[1]DADOS!F178)</f>
      </c>
      <c r="V197" s="81">
        <f>IF(C197="","",[1]DADOS!$D$8)</f>
      </c>
    </row>
    <row r="198" ht="21" customHeight="1" spans="2:22" x14ac:dyDescent="0.25">
      <c r="B198" s="73">
        <v>169</v>
      </c>
      <c r="C198" s="74">
        <f>IF([1]DADOS!D179="","",[1]DADOS!D179)</f>
      </c>
      <c r="D198" s="75"/>
      <c r="E198" s="76"/>
      <c r="F198" s="76"/>
      <c r="G198" s="77"/>
      <c r="H198" s="74"/>
      <c r="I198" s="78">
        <f>IF([1]DADOS!G179="","",[1]DADOS!G179)</f>
      </c>
      <c r="J198" s="73">
        <f>IF([1]DADOS!I179="MONOFÁSICO","X","")</f>
      </c>
      <c r="K198" s="73">
        <f>IF([1]DADOS!I179="BIFÁSICO","X","")</f>
      </c>
      <c r="L198" s="73">
        <f>IF([1]DADOS!I179="TRIFÁSICO","X","")</f>
      </c>
      <c r="M198" s="73">
        <f>IF([1]DADOS!H179="5M","X","")</f>
      </c>
      <c r="N198" s="73">
        <f>IF([1]DADOS!H179="7M","X","")</f>
      </c>
      <c r="O198" s="73">
        <f>IF([1]DADOS!H179="PP","X","")</f>
      </c>
      <c r="P198" s="73"/>
      <c r="Q198" s="73"/>
      <c r="R198" s="73"/>
      <c r="S198" s="79"/>
      <c r="T198" s="80"/>
      <c r="U198" s="78">
        <f>IF([1]DADOS!F179="","",[1]DADOS!F179)</f>
      </c>
      <c r="V198" s="81">
        <f>IF(C198="","",[1]DADOS!$D$8)</f>
      </c>
    </row>
    <row r="199" ht="21" customHeight="1" spans="2:22" x14ac:dyDescent="0.25">
      <c r="B199" s="73">
        <v>170</v>
      </c>
      <c r="C199" s="74">
        <f>IF([1]DADOS!D180="","",[1]DADOS!D180)</f>
      </c>
      <c r="D199" s="75"/>
      <c r="E199" s="76"/>
      <c r="F199" s="76"/>
      <c r="G199" s="77"/>
      <c r="H199" s="74"/>
      <c r="I199" s="78">
        <f>IF([1]DADOS!G180="","",[1]DADOS!G180)</f>
      </c>
      <c r="J199" s="73">
        <f>IF([1]DADOS!I180="MONOFÁSICO","X","")</f>
      </c>
      <c r="K199" s="73">
        <f>IF([1]DADOS!I180="BIFÁSICO","X","")</f>
      </c>
      <c r="L199" s="73">
        <f>IF([1]DADOS!I180="TRIFÁSICO","X","")</f>
      </c>
      <c r="M199" s="73">
        <f>IF([1]DADOS!H180="5M","X","")</f>
      </c>
      <c r="N199" s="73">
        <f>IF([1]DADOS!H180="7M","X","")</f>
      </c>
      <c r="O199" s="73">
        <f>IF([1]DADOS!H180="PP","X","")</f>
      </c>
      <c r="P199" s="73"/>
      <c r="Q199" s="73"/>
      <c r="R199" s="73"/>
      <c r="S199" s="79"/>
      <c r="T199" s="80"/>
      <c r="U199" s="78">
        <f>IF([1]DADOS!F180="","",[1]DADOS!F180)</f>
      </c>
      <c r="V199" s="81">
        <f>IF(C199="","",[1]DADOS!$D$8)</f>
      </c>
    </row>
    <row r="200" ht="21" customHeight="1" spans="2:22" x14ac:dyDescent="0.25">
      <c r="B200" s="73">
        <v>171</v>
      </c>
      <c r="C200" s="74">
        <f>IF([1]DADOS!D181="","",[1]DADOS!D181)</f>
      </c>
      <c r="D200" s="75"/>
      <c r="E200" s="76"/>
      <c r="F200" s="76"/>
      <c r="G200" s="77"/>
      <c r="H200" s="74"/>
      <c r="I200" s="78">
        <f>IF([1]DADOS!G181="","",[1]DADOS!G181)</f>
      </c>
      <c r="J200" s="73">
        <f>IF([1]DADOS!I181="MONOFÁSICO","X","")</f>
      </c>
      <c r="K200" s="73">
        <f>IF([1]DADOS!I181="BIFÁSICO","X","")</f>
      </c>
      <c r="L200" s="73">
        <f>IF([1]DADOS!I181="TRIFÁSICO","X","")</f>
      </c>
      <c r="M200" s="73">
        <f>IF([1]DADOS!H181="5M","X","")</f>
      </c>
      <c r="N200" s="73">
        <f>IF([1]DADOS!H181="7M","X","")</f>
      </c>
      <c r="O200" s="73">
        <f>IF([1]DADOS!H181="PP","X","")</f>
      </c>
      <c r="P200" s="73"/>
      <c r="Q200" s="73"/>
      <c r="R200" s="73"/>
      <c r="S200" s="79"/>
      <c r="T200" s="80"/>
      <c r="U200" s="78">
        <f>IF([1]DADOS!F181="","",[1]DADOS!F181)</f>
      </c>
      <c r="V200" s="81">
        <f>IF(C200="","",[1]DADOS!$D$8)</f>
      </c>
    </row>
    <row r="201" ht="21" customHeight="1" spans="2:22" x14ac:dyDescent="0.25">
      <c r="B201" s="73">
        <v>172</v>
      </c>
      <c r="C201" s="74">
        <f>IF([1]DADOS!D182="","",[1]DADOS!D182)</f>
      </c>
      <c r="D201" s="75"/>
      <c r="E201" s="76"/>
      <c r="F201" s="76"/>
      <c r="G201" s="77"/>
      <c r="H201" s="74"/>
      <c r="I201" s="78">
        <f>IF([1]DADOS!G182="","",[1]DADOS!G182)</f>
      </c>
      <c r="J201" s="73">
        <f>IF([1]DADOS!I182="MONOFÁSICO","X","")</f>
      </c>
      <c r="K201" s="73">
        <f>IF([1]DADOS!I182="BIFÁSICO","X","")</f>
      </c>
      <c r="L201" s="73">
        <f>IF([1]DADOS!I182="TRIFÁSICO","X","")</f>
      </c>
      <c r="M201" s="73">
        <f>IF([1]DADOS!H182="5M","X","")</f>
      </c>
      <c r="N201" s="73">
        <f>IF([1]DADOS!H182="7M","X","")</f>
      </c>
      <c r="O201" s="73">
        <f>IF([1]DADOS!H182="PP","X","")</f>
      </c>
      <c r="P201" s="73"/>
      <c r="Q201" s="73"/>
      <c r="R201" s="73"/>
      <c r="S201" s="79"/>
      <c r="T201" s="80"/>
      <c r="U201" s="78">
        <f>IF([1]DADOS!F182="","",[1]DADOS!F182)</f>
      </c>
      <c r="V201" s="81">
        <f>IF(C201="","",[1]DADOS!$D$8)</f>
      </c>
    </row>
    <row r="202" ht="21" customHeight="1" spans="2:22" x14ac:dyDescent="0.25">
      <c r="B202" s="73">
        <v>173</v>
      </c>
      <c r="C202" s="74">
        <f>IF([1]DADOS!D183="","",[1]DADOS!D183)</f>
      </c>
      <c r="D202" s="75"/>
      <c r="E202" s="76"/>
      <c r="F202" s="76"/>
      <c r="G202" s="77"/>
      <c r="H202" s="74"/>
      <c r="I202" s="78">
        <f>IF([1]DADOS!G183="","",[1]DADOS!G183)</f>
      </c>
      <c r="J202" s="73">
        <f>IF([1]DADOS!I183="MONOFÁSICO","X","")</f>
      </c>
      <c r="K202" s="73">
        <f>IF([1]DADOS!I183="BIFÁSICO","X","")</f>
      </c>
      <c r="L202" s="73">
        <f>IF([1]DADOS!I183="TRIFÁSICO","X","")</f>
      </c>
      <c r="M202" s="73">
        <f>IF([1]DADOS!H183="5M","X","")</f>
      </c>
      <c r="N202" s="73">
        <f>IF([1]DADOS!H183="7M","X","")</f>
      </c>
      <c r="O202" s="73">
        <f>IF([1]DADOS!H183="PP","X","")</f>
      </c>
      <c r="P202" s="73"/>
      <c r="Q202" s="73"/>
      <c r="R202" s="73"/>
      <c r="S202" s="79"/>
      <c r="T202" s="80"/>
      <c r="U202" s="78">
        <f>IF([1]DADOS!F183="","",[1]DADOS!F183)</f>
      </c>
      <c r="V202" s="81">
        <f>IF(C202="","",[1]DADOS!$D$8)</f>
      </c>
    </row>
    <row r="203" ht="21" customHeight="1" spans="2:22" x14ac:dyDescent="0.25">
      <c r="B203" s="73">
        <v>174</v>
      </c>
      <c r="C203" s="74">
        <f>IF([1]DADOS!D184="","",[1]DADOS!D184)</f>
      </c>
      <c r="D203" s="75"/>
      <c r="E203" s="76"/>
      <c r="F203" s="76"/>
      <c r="G203" s="77"/>
      <c r="H203" s="74"/>
      <c r="I203" s="78">
        <f>IF([1]DADOS!G184="","",[1]DADOS!G184)</f>
      </c>
      <c r="J203" s="73">
        <f>IF([1]DADOS!I184="MONOFÁSICO","X","")</f>
      </c>
      <c r="K203" s="73">
        <f>IF([1]DADOS!I184="BIFÁSICO","X","")</f>
      </c>
      <c r="L203" s="73">
        <f>IF([1]DADOS!I184="TRIFÁSICO","X","")</f>
      </c>
      <c r="M203" s="73">
        <f>IF([1]DADOS!H184="5M","X","")</f>
      </c>
      <c r="N203" s="73">
        <f>IF([1]DADOS!H184="7M","X","")</f>
      </c>
      <c r="O203" s="73">
        <f>IF([1]DADOS!H184="PP","X","")</f>
      </c>
      <c r="P203" s="73"/>
      <c r="Q203" s="73"/>
      <c r="R203" s="73"/>
      <c r="S203" s="79"/>
      <c r="T203" s="80"/>
      <c r="U203" s="78">
        <f>IF([1]DADOS!F184="","",[1]DADOS!F184)</f>
      </c>
      <c r="V203" s="81">
        <f>IF(C203="","",[1]DADOS!$D$8)</f>
      </c>
    </row>
    <row r="204" ht="21" customHeight="1" spans="2:22" x14ac:dyDescent="0.25">
      <c r="B204" s="73">
        <v>175</v>
      </c>
      <c r="C204" s="74">
        <f>IF([1]DADOS!D185="","",[1]DADOS!D185)</f>
      </c>
      <c r="D204" s="75"/>
      <c r="E204" s="76"/>
      <c r="F204" s="76"/>
      <c r="G204" s="77"/>
      <c r="H204" s="74"/>
      <c r="I204" s="78">
        <f>IF([1]DADOS!G185="","",[1]DADOS!G185)</f>
      </c>
      <c r="J204" s="73">
        <f>IF([1]DADOS!I185="MONOFÁSICO","X","")</f>
      </c>
      <c r="K204" s="73">
        <f>IF([1]DADOS!I185="BIFÁSICO","X","")</f>
      </c>
      <c r="L204" s="73">
        <f>IF([1]DADOS!I185="TRIFÁSICO","X","")</f>
      </c>
      <c r="M204" s="73">
        <f>IF([1]DADOS!H185="5M","X","")</f>
      </c>
      <c r="N204" s="73">
        <f>IF([1]DADOS!H185="7M","X","")</f>
      </c>
      <c r="O204" s="73">
        <f>IF([1]DADOS!H185="PP","X","")</f>
      </c>
      <c r="P204" s="73"/>
      <c r="Q204" s="73"/>
      <c r="R204" s="73"/>
      <c r="S204" s="79"/>
      <c r="T204" s="80"/>
      <c r="U204" s="78">
        <f>IF([1]DADOS!F185="","",[1]DADOS!F185)</f>
      </c>
      <c r="V204" s="81">
        <f>IF(C204="","",[1]DADOS!$D$8)</f>
      </c>
    </row>
    <row r="205" ht="21" customHeight="1" spans="2:22" x14ac:dyDescent="0.25">
      <c r="B205" s="73">
        <v>176</v>
      </c>
      <c r="C205" s="74">
        <f>IF([1]DADOS!D186="","",[1]DADOS!D186)</f>
      </c>
      <c r="D205" s="75"/>
      <c r="E205" s="76"/>
      <c r="F205" s="76"/>
      <c r="G205" s="77"/>
      <c r="H205" s="74"/>
      <c r="I205" s="78">
        <f>IF([1]DADOS!G186="","",[1]DADOS!G186)</f>
      </c>
      <c r="J205" s="73">
        <f>IF([1]DADOS!I186="MONOFÁSICO","X","")</f>
      </c>
      <c r="K205" s="73">
        <f>IF([1]DADOS!I186="BIFÁSICO","X","")</f>
      </c>
      <c r="L205" s="73">
        <f>IF([1]DADOS!I186="TRIFÁSICO","X","")</f>
      </c>
      <c r="M205" s="73">
        <f>IF([1]DADOS!H186="5M","X","")</f>
      </c>
      <c r="N205" s="73">
        <f>IF([1]DADOS!H186="7M","X","")</f>
      </c>
      <c r="O205" s="73">
        <f>IF([1]DADOS!H186="PP","X","")</f>
      </c>
      <c r="P205" s="73"/>
      <c r="Q205" s="73"/>
      <c r="R205" s="73"/>
      <c r="S205" s="79"/>
      <c r="T205" s="80"/>
      <c r="U205" s="78">
        <f>IF([1]DADOS!F186="","",[1]DADOS!F186)</f>
      </c>
      <c r="V205" s="81">
        <f>IF(C205="","",[1]DADOS!$D$8)</f>
      </c>
    </row>
    <row r="206" ht="21" customHeight="1" spans="2:22" x14ac:dyDescent="0.25">
      <c r="B206" s="73">
        <v>177</v>
      </c>
      <c r="C206" s="74">
        <f>IF([1]DADOS!D187="","",[1]DADOS!D187)</f>
      </c>
      <c r="D206" s="75"/>
      <c r="E206" s="76"/>
      <c r="F206" s="76"/>
      <c r="G206" s="77"/>
      <c r="H206" s="74"/>
      <c r="I206" s="78">
        <f>IF([1]DADOS!G187="","",[1]DADOS!G187)</f>
      </c>
      <c r="J206" s="73">
        <f>IF([1]DADOS!I187="MONOFÁSICO","X","")</f>
      </c>
      <c r="K206" s="73">
        <f>IF([1]DADOS!I187="BIFÁSICO","X","")</f>
      </c>
      <c r="L206" s="73">
        <f>IF([1]DADOS!I187="TRIFÁSICO","X","")</f>
      </c>
      <c r="M206" s="73">
        <f>IF([1]DADOS!H187="5M","X","")</f>
      </c>
      <c r="N206" s="73">
        <f>IF([1]DADOS!H187="7M","X","")</f>
      </c>
      <c r="O206" s="73">
        <f>IF([1]DADOS!H187="PP","X","")</f>
      </c>
      <c r="P206" s="73"/>
      <c r="Q206" s="73"/>
      <c r="R206" s="73"/>
      <c r="S206" s="79"/>
      <c r="T206" s="80"/>
      <c r="U206" s="78">
        <f>IF([1]DADOS!F187="","",[1]DADOS!F187)</f>
      </c>
      <c r="V206" s="81">
        <f>IF(C206="","",[1]DADOS!$D$8)</f>
      </c>
    </row>
    <row r="207" ht="21" customHeight="1" spans="2:22" x14ac:dyDescent="0.25">
      <c r="B207" s="73">
        <v>178</v>
      </c>
      <c r="C207" s="74">
        <f>IF([1]DADOS!D188="","",[1]DADOS!D188)</f>
      </c>
      <c r="D207" s="75"/>
      <c r="E207" s="76"/>
      <c r="F207" s="76"/>
      <c r="G207" s="77"/>
      <c r="H207" s="74"/>
      <c r="I207" s="78">
        <f>IF([1]DADOS!G188="","",[1]DADOS!G188)</f>
      </c>
      <c r="J207" s="73">
        <f>IF([1]DADOS!I188="MONOFÁSICO","X","")</f>
      </c>
      <c r="K207" s="73">
        <f>IF([1]DADOS!I188="BIFÁSICO","X","")</f>
      </c>
      <c r="L207" s="73">
        <f>IF([1]DADOS!I188="TRIFÁSICO","X","")</f>
      </c>
      <c r="M207" s="73">
        <f>IF([1]DADOS!H188="5M","X","")</f>
      </c>
      <c r="N207" s="73">
        <f>IF([1]DADOS!H188="7M","X","")</f>
      </c>
      <c r="O207" s="73">
        <f>IF([1]DADOS!H188="PP","X","")</f>
      </c>
      <c r="P207" s="73"/>
      <c r="Q207" s="73"/>
      <c r="R207" s="73"/>
      <c r="S207" s="79"/>
      <c r="T207" s="80"/>
      <c r="U207" s="78">
        <f>IF([1]DADOS!F188="","",[1]DADOS!F188)</f>
      </c>
      <c r="V207" s="81">
        <f>IF(C207="","",[1]DADOS!$D$8)</f>
      </c>
    </row>
    <row r="208" ht="21" customHeight="1" spans="2:22" x14ac:dyDescent="0.25">
      <c r="B208" s="73">
        <v>179</v>
      </c>
      <c r="C208" s="74">
        <f>IF([1]DADOS!D189="","",[1]DADOS!D189)</f>
      </c>
      <c r="D208" s="75"/>
      <c r="E208" s="76"/>
      <c r="F208" s="76"/>
      <c r="G208" s="77"/>
      <c r="H208" s="74"/>
      <c r="I208" s="78">
        <f>IF([1]DADOS!G189="","",[1]DADOS!G189)</f>
      </c>
      <c r="J208" s="73">
        <f>IF([1]DADOS!I189="MONOFÁSICO","X","")</f>
      </c>
      <c r="K208" s="73">
        <f>IF([1]DADOS!I189="BIFÁSICO","X","")</f>
      </c>
      <c r="L208" s="73">
        <f>IF([1]DADOS!I189="TRIFÁSICO","X","")</f>
      </c>
      <c r="M208" s="73">
        <f>IF([1]DADOS!H189="5M","X","")</f>
      </c>
      <c r="N208" s="73">
        <f>IF([1]DADOS!H189="7M","X","")</f>
      </c>
      <c r="O208" s="73">
        <f>IF([1]DADOS!H189="PP","X","")</f>
      </c>
      <c r="P208" s="73"/>
      <c r="Q208" s="73"/>
      <c r="R208" s="73"/>
      <c r="S208" s="79"/>
      <c r="T208" s="80"/>
      <c r="U208" s="78">
        <f>IF([1]DADOS!F189="","",[1]DADOS!F189)</f>
      </c>
      <c r="V208" s="81">
        <f>IF(C208="","",[1]DADOS!$D$8)</f>
      </c>
    </row>
    <row r="209" ht="21" customHeight="1" spans="2:22" x14ac:dyDescent="0.25">
      <c r="B209" s="73">
        <v>180</v>
      </c>
      <c r="C209" s="74">
        <f>IF([1]DADOS!D190="","",[1]DADOS!D190)</f>
      </c>
      <c r="D209" s="75"/>
      <c r="E209" s="76"/>
      <c r="F209" s="76"/>
      <c r="G209" s="77"/>
      <c r="H209" s="74"/>
      <c r="I209" s="78">
        <f>IF([1]DADOS!G190="","",[1]DADOS!G190)</f>
      </c>
      <c r="J209" s="73">
        <f>IF([1]DADOS!I190="MONOFÁSICO","X","")</f>
      </c>
      <c r="K209" s="73">
        <f>IF([1]DADOS!I190="BIFÁSICO","X","")</f>
      </c>
      <c r="L209" s="73">
        <f>IF([1]DADOS!I190="TRIFÁSICO","X","")</f>
      </c>
      <c r="M209" s="73">
        <f>IF([1]DADOS!H190="5M","X","")</f>
      </c>
      <c r="N209" s="73">
        <f>IF([1]DADOS!H190="7M","X","")</f>
      </c>
      <c r="O209" s="73">
        <f>IF([1]DADOS!H190="PP","X","")</f>
      </c>
      <c r="P209" s="73"/>
      <c r="Q209" s="73"/>
      <c r="R209" s="73"/>
      <c r="S209" s="79"/>
      <c r="T209" s="80"/>
      <c r="U209" s="78">
        <f>IF([1]DADOS!F190="","",[1]DADOS!F190)</f>
      </c>
      <c r="V209" s="81">
        <f>IF(C209="","",[1]DADOS!$D$8)</f>
      </c>
    </row>
    <row r="210" ht="21" customHeight="1" spans="2:22" x14ac:dyDescent="0.25">
      <c r="B210" s="73">
        <v>181</v>
      </c>
      <c r="C210" s="74">
        <f>IF([1]DADOS!D191="","",[1]DADOS!D191)</f>
      </c>
      <c r="D210" s="75"/>
      <c r="E210" s="76"/>
      <c r="F210" s="76"/>
      <c r="G210" s="77"/>
      <c r="H210" s="74"/>
      <c r="I210" s="78">
        <f>IF([1]DADOS!G191="","",[1]DADOS!G191)</f>
      </c>
      <c r="J210" s="73">
        <f>IF([1]DADOS!I191="MONOFÁSICO","X","")</f>
      </c>
      <c r="K210" s="73">
        <f>IF([1]DADOS!I191="BIFÁSICO","X","")</f>
      </c>
      <c r="L210" s="73">
        <f>IF([1]DADOS!I191="TRIFÁSICO","X","")</f>
      </c>
      <c r="M210" s="73">
        <f>IF([1]DADOS!H191="5M","X","")</f>
      </c>
      <c r="N210" s="73">
        <f>IF([1]DADOS!H191="7M","X","")</f>
      </c>
      <c r="O210" s="73">
        <f>IF([1]DADOS!H191="PP","X","")</f>
      </c>
      <c r="P210" s="73"/>
      <c r="Q210" s="73"/>
      <c r="R210" s="73"/>
      <c r="S210" s="79"/>
      <c r="T210" s="80"/>
      <c r="U210" s="78">
        <f>IF([1]DADOS!F191="","",[1]DADOS!F191)</f>
      </c>
      <c r="V210" s="81">
        <f>IF(C210="","",[1]DADOS!$D$8)</f>
      </c>
    </row>
    <row r="211" ht="21" customHeight="1" spans="2:22" x14ac:dyDescent="0.25">
      <c r="B211" s="73">
        <v>182</v>
      </c>
      <c r="C211" s="74">
        <f>IF([1]DADOS!D192="","",[1]DADOS!D192)</f>
      </c>
      <c r="D211" s="75"/>
      <c r="E211" s="76"/>
      <c r="F211" s="76"/>
      <c r="G211" s="77"/>
      <c r="H211" s="74"/>
      <c r="I211" s="78">
        <f>IF([1]DADOS!G192="","",[1]DADOS!G192)</f>
      </c>
      <c r="J211" s="73">
        <f>IF([1]DADOS!I192="MONOFÁSICO","X","")</f>
      </c>
      <c r="K211" s="73">
        <f>IF([1]DADOS!I192="BIFÁSICO","X","")</f>
      </c>
      <c r="L211" s="73">
        <f>IF([1]DADOS!I192="TRIFÁSICO","X","")</f>
      </c>
      <c r="M211" s="73">
        <f>IF([1]DADOS!H192="5M","X","")</f>
      </c>
      <c r="N211" s="73">
        <f>IF([1]DADOS!H192="7M","X","")</f>
      </c>
      <c r="O211" s="73">
        <f>IF([1]DADOS!H192="PP","X","")</f>
      </c>
      <c r="P211" s="73"/>
      <c r="Q211" s="73"/>
      <c r="R211" s="73"/>
      <c r="S211" s="79"/>
      <c r="T211" s="80"/>
      <c r="U211" s="78">
        <f>IF([1]DADOS!F192="","",[1]DADOS!F192)</f>
      </c>
      <c r="V211" s="81">
        <f>IF(C211="","",[1]DADOS!$D$8)</f>
      </c>
    </row>
    <row r="212" ht="21" customHeight="1" spans="2:22" x14ac:dyDescent="0.25">
      <c r="B212" s="73">
        <v>183</v>
      </c>
      <c r="C212" s="74">
        <f>IF([1]DADOS!D193="","",[1]DADOS!D193)</f>
      </c>
      <c r="D212" s="75"/>
      <c r="E212" s="76"/>
      <c r="F212" s="76"/>
      <c r="G212" s="77"/>
      <c r="H212" s="74"/>
      <c r="I212" s="78">
        <f>IF([1]DADOS!G193="","",[1]DADOS!G193)</f>
      </c>
      <c r="J212" s="73">
        <f>IF([1]DADOS!I193="MONOFÁSICO","X","")</f>
      </c>
      <c r="K212" s="73">
        <f>IF([1]DADOS!I193="BIFÁSICO","X","")</f>
      </c>
      <c r="L212" s="73">
        <f>IF([1]DADOS!I193="TRIFÁSICO","X","")</f>
      </c>
      <c r="M212" s="73">
        <f>IF([1]DADOS!H193="5M","X","")</f>
      </c>
      <c r="N212" s="73">
        <f>IF([1]DADOS!H193="7M","X","")</f>
      </c>
      <c r="O212" s="73">
        <f>IF([1]DADOS!H193="PP","X","")</f>
      </c>
      <c r="P212" s="73"/>
      <c r="Q212" s="73"/>
      <c r="R212" s="73"/>
      <c r="S212" s="79"/>
      <c r="T212" s="80"/>
      <c r="U212" s="78">
        <f>IF([1]DADOS!F193="","",[1]DADOS!F193)</f>
      </c>
      <c r="V212" s="81">
        <f>IF(C212="","",[1]DADOS!$D$8)</f>
      </c>
    </row>
    <row r="213" ht="21" customHeight="1" spans="2:22" x14ac:dyDescent="0.25">
      <c r="B213" s="73">
        <v>184</v>
      </c>
      <c r="C213" s="74">
        <f>IF([1]DADOS!D194="","",[1]DADOS!D194)</f>
      </c>
      <c r="D213" s="75"/>
      <c r="E213" s="76"/>
      <c r="F213" s="76"/>
      <c r="G213" s="77"/>
      <c r="H213" s="74"/>
      <c r="I213" s="78">
        <f>IF([1]DADOS!G194="","",[1]DADOS!G194)</f>
      </c>
      <c r="J213" s="73">
        <f>IF([1]DADOS!I194="MONOFÁSICO","X","")</f>
      </c>
      <c r="K213" s="73">
        <f>IF([1]DADOS!I194="BIFÁSICO","X","")</f>
      </c>
      <c r="L213" s="73">
        <f>IF([1]DADOS!I194="TRIFÁSICO","X","")</f>
      </c>
      <c r="M213" s="73">
        <f>IF([1]DADOS!H194="5M","X","")</f>
      </c>
      <c r="N213" s="73">
        <f>IF([1]DADOS!H194="7M","X","")</f>
      </c>
      <c r="O213" s="73">
        <f>IF([1]DADOS!H194="PP","X","")</f>
      </c>
      <c r="P213" s="73"/>
      <c r="Q213" s="73"/>
      <c r="R213" s="73"/>
      <c r="S213" s="79"/>
      <c r="T213" s="80"/>
      <c r="U213" s="78">
        <f>IF([1]DADOS!F194="","",[1]DADOS!F194)</f>
      </c>
      <c r="V213" s="81">
        <f>IF(C213="","",[1]DADOS!$D$8)</f>
      </c>
    </row>
    <row r="214" ht="21" customHeight="1" spans="2:22" x14ac:dyDescent="0.25">
      <c r="B214" s="73">
        <v>185</v>
      </c>
      <c r="C214" s="74">
        <f>IF([1]DADOS!D195="","",[1]DADOS!D195)</f>
      </c>
      <c r="D214" s="75"/>
      <c r="E214" s="76"/>
      <c r="F214" s="76"/>
      <c r="G214" s="77"/>
      <c r="H214" s="74"/>
      <c r="I214" s="78">
        <f>IF([1]DADOS!G195="","",[1]DADOS!G195)</f>
      </c>
      <c r="J214" s="73">
        <f>IF([1]DADOS!I195="MONOFÁSICO","X","")</f>
      </c>
      <c r="K214" s="73">
        <f>IF([1]DADOS!I195="BIFÁSICO","X","")</f>
      </c>
      <c r="L214" s="73">
        <f>IF([1]DADOS!I195="TRIFÁSICO","X","")</f>
      </c>
      <c r="M214" s="73">
        <f>IF([1]DADOS!H195="5M","X","")</f>
      </c>
      <c r="N214" s="73">
        <f>IF([1]DADOS!H195="7M","X","")</f>
      </c>
      <c r="O214" s="73">
        <f>IF([1]DADOS!H195="PP","X","")</f>
      </c>
      <c r="P214" s="73"/>
      <c r="Q214" s="73"/>
      <c r="R214" s="73"/>
      <c r="S214" s="79"/>
      <c r="T214" s="80"/>
      <c r="U214" s="78">
        <f>IF([1]DADOS!F195="","",[1]DADOS!F195)</f>
      </c>
      <c r="V214" s="81">
        <f>IF(C214="","",[1]DADOS!$D$8)</f>
      </c>
    </row>
    <row r="215" ht="21" customHeight="1" spans="2:22" x14ac:dyDescent="0.25">
      <c r="B215" s="73">
        <v>186</v>
      </c>
      <c r="C215" s="74">
        <f>IF([1]DADOS!D196="","",[1]DADOS!D196)</f>
      </c>
      <c r="D215" s="75"/>
      <c r="E215" s="76"/>
      <c r="F215" s="76"/>
      <c r="G215" s="77"/>
      <c r="H215" s="74"/>
      <c r="I215" s="78">
        <f>IF([1]DADOS!G196="","",[1]DADOS!G196)</f>
      </c>
      <c r="J215" s="73">
        <f>IF([1]DADOS!I196="MONOFÁSICO","X","")</f>
      </c>
      <c r="K215" s="73">
        <f>IF([1]DADOS!I196="BIFÁSICO","X","")</f>
      </c>
      <c r="L215" s="73">
        <f>IF([1]DADOS!I196="TRIFÁSICO","X","")</f>
      </c>
      <c r="M215" s="73">
        <f>IF([1]DADOS!H196="5M","X","")</f>
      </c>
      <c r="N215" s="73">
        <f>IF([1]DADOS!H196="7M","X","")</f>
      </c>
      <c r="O215" s="73">
        <f>IF([1]DADOS!H196="PP","X","")</f>
      </c>
      <c r="P215" s="73"/>
      <c r="Q215" s="73"/>
      <c r="R215" s="73"/>
      <c r="S215" s="79"/>
      <c r="T215" s="80"/>
      <c r="U215" s="78">
        <f>IF([1]DADOS!F196="","",[1]DADOS!F196)</f>
      </c>
      <c r="V215" s="81">
        <f>IF(C215="","",[1]DADOS!$D$8)</f>
      </c>
    </row>
    <row r="216" ht="21" customHeight="1" spans="2:22" x14ac:dyDescent="0.25">
      <c r="B216" s="73">
        <v>187</v>
      </c>
      <c r="C216" s="74">
        <f>IF([1]DADOS!D197="","",[1]DADOS!D197)</f>
      </c>
      <c r="D216" s="75"/>
      <c r="E216" s="76"/>
      <c r="F216" s="76"/>
      <c r="G216" s="77"/>
      <c r="H216" s="74"/>
      <c r="I216" s="78">
        <f>IF([1]DADOS!G197="","",[1]DADOS!G197)</f>
      </c>
      <c r="J216" s="73">
        <f>IF([1]DADOS!I197="MONOFÁSICO","X","")</f>
      </c>
      <c r="K216" s="73">
        <f>IF([1]DADOS!I197="BIFÁSICO","X","")</f>
      </c>
      <c r="L216" s="73">
        <f>IF([1]DADOS!I197="TRIFÁSICO","X","")</f>
      </c>
      <c r="M216" s="73">
        <f>IF([1]DADOS!H197="5M","X","")</f>
      </c>
      <c r="N216" s="73">
        <f>IF([1]DADOS!H197="7M","X","")</f>
      </c>
      <c r="O216" s="73">
        <f>IF([1]DADOS!H197="PP","X","")</f>
      </c>
      <c r="P216" s="73"/>
      <c r="Q216" s="73"/>
      <c r="R216" s="73"/>
      <c r="S216" s="79"/>
      <c r="T216" s="80"/>
      <c r="U216" s="78">
        <f>IF([1]DADOS!F197="","",[1]DADOS!F197)</f>
      </c>
      <c r="V216" s="81">
        <f>IF(C216="","",[1]DADOS!$D$8)</f>
      </c>
    </row>
    <row r="217" ht="21" customHeight="1" spans="2:22" x14ac:dyDescent="0.25">
      <c r="B217" s="73">
        <v>188</v>
      </c>
      <c r="C217" s="74">
        <f>IF([1]DADOS!D198="","",[1]DADOS!D198)</f>
      </c>
      <c r="D217" s="75"/>
      <c r="E217" s="76"/>
      <c r="F217" s="76"/>
      <c r="G217" s="77"/>
      <c r="H217" s="74"/>
      <c r="I217" s="78">
        <f>IF([1]DADOS!G198="","",[1]DADOS!G198)</f>
      </c>
      <c r="J217" s="73">
        <f>IF([1]DADOS!I198="MONOFÁSICO","X","")</f>
      </c>
      <c r="K217" s="73">
        <f>IF([1]DADOS!I198="BIFÁSICO","X","")</f>
      </c>
      <c r="L217" s="73">
        <f>IF([1]DADOS!I198="TRIFÁSICO","X","")</f>
      </c>
      <c r="M217" s="73">
        <f>IF([1]DADOS!H198="5M","X","")</f>
      </c>
      <c r="N217" s="73">
        <f>IF([1]DADOS!H198="7M","X","")</f>
      </c>
      <c r="O217" s="73">
        <f>IF([1]DADOS!H198="PP","X","")</f>
      </c>
      <c r="P217" s="73"/>
      <c r="Q217" s="73"/>
      <c r="R217" s="73"/>
      <c r="S217" s="79"/>
      <c r="T217" s="80"/>
      <c r="U217" s="78">
        <f>IF([1]DADOS!F198="","",[1]DADOS!F198)</f>
      </c>
      <c r="V217" s="81">
        <f>IF(C217="","",[1]DADOS!$D$8)</f>
      </c>
    </row>
    <row r="218" ht="21" customHeight="1" spans="2:22" x14ac:dyDescent="0.25">
      <c r="B218" s="73">
        <v>189</v>
      </c>
      <c r="C218" s="74">
        <f>IF([1]DADOS!D199="","",[1]DADOS!D199)</f>
      </c>
      <c r="D218" s="75"/>
      <c r="E218" s="76"/>
      <c r="F218" s="76"/>
      <c r="G218" s="77"/>
      <c r="H218" s="74"/>
      <c r="I218" s="78">
        <f>IF([1]DADOS!G199="","",[1]DADOS!G199)</f>
      </c>
      <c r="J218" s="73">
        <f>IF([1]DADOS!I199="MONOFÁSICO","X","")</f>
      </c>
      <c r="K218" s="73">
        <f>IF([1]DADOS!I199="BIFÁSICO","X","")</f>
      </c>
      <c r="L218" s="73">
        <f>IF([1]DADOS!I199="TRIFÁSICO","X","")</f>
      </c>
      <c r="M218" s="73">
        <f>IF([1]DADOS!H199="5M","X","")</f>
      </c>
      <c r="N218" s="73">
        <f>IF([1]DADOS!H199="7M","X","")</f>
      </c>
      <c r="O218" s="73">
        <f>IF([1]DADOS!H199="PP","X","")</f>
      </c>
      <c r="P218" s="73"/>
      <c r="Q218" s="73"/>
      <c r="R218" s="73"/>
      <c r="S218" s="79"/>
      <c r="T218" s="80"/>
      <c r="U218" s="78">
        <f>IF([1]DADOS!F199="","",[1]DADOS!F199)</f>
      </c>
      <c r="V218" s="81">
        <f>IF(C218="","",[1]DADOS!$D$8)</f>
      </c>
    </row>
    <row r="219" ht="21" customHeight="1" spans="2:22" x14ac:dyDescent="0.25">
      <c r="B219" s="73">
        <v>190</v>
      </c>
      <c r="C219" s="74">
        <f>IF([1]DADOS!D200="","",[1]DADOS!D200)</f>
      </c>
      <c r="D219" s="75"/>
      <c r="E219" s="76"/>
      <c r="F219" s="76"/>
      <c r="G219" s="77"/>
      <c r="H219" s="74"/>
      <c r="I219" s="78">
        <f>IF([1]DADOS!G200="","",[1]DADOS!G200)</f>
      </c>
      <c r="J219" s="73">
        <f>IF([1]DADOS!I200="MONOFÁSICO","X","")</f>
      </c>
      <c r="K219" s="73">
        <f>IF([1]DADOS!I200="BIFÁSICO","X","")</f>
      </c>
      <c r="L219" s="73">
        <f>IF([1]DADOS!I200="TRIFÁSICO","X","")</f>
      </c>
      <c r="M219" s="73">
        <f>IF([1]DADOS!H200="5M","X","")</f>
      </c>
      <c r="N219" s="73">
        <f>IF([1]DADOS!H200="7M","X","")</f>
      </c>
      <c r="O219" s="73">
        <f>IF([1]DADOS!H200="PP","X","")</f>
      </c>
      <c r="P219" s="73"/>
      <c r="Q219" s="73"/>
      <c r="R219" s="73"/>
      <c r="S219" s="79"/>
      <c r="T219" s="80"/>
      <c r="U219" s="78">
        <f>IF([1]DADOS!F200="","",[1]DADOS!F200)</f>
      </c>
      <c r="V219" s="81">
        <f>IF(C219="","",[1]DADOS!$D$8)</f>
      </c>
    </row>
    <row r="220" ht="21" customHeight="1" spans="2:22" x14ac:dyDescent="0.25">
      <c r="B220" s="73">
        <v>191</v>
      </c>
      <c r="C220" s="74">
        <f>IF([1]DADOS!D201="","",[1]DADOS!D201)</f>
      </c>
      <c r="D220" s="75"/>
      <c r="E220" s="76"/>
      <c r="F220" s="76"/>
      <c r="G220" s="77"/>
      <c r="H220" s="74"/>
      <c r="I220" s="78">
        <f>IF([1]DADOS!G201="","",[1]DADOS!G201)</f>
      </c>
      <c r="J220" s="73">
        <f>IF([1]DADOS!I201="MONOFÁSICO","X","")</f>
      </c>
      <c r="K220" s="73">
        <f>IF([1]DADOS!I201="BIFÁSICO","X","")</f>
      </c>
      <c r="L220" s="73">
        <f>IF([1]DADOS!I201="TRIFÁSICO","X","")</f>
      </c>
      <c r="M220" s="73">
        <f>IF([1]DADOS!H201="5M","X","")</f>
      </c>
      <c r="N220" s="73">
        <f>IF([1]DADOS!H201="7M","X","")</f>
      </c>
      <c r="O220" s="73">
        <f>IF([1]DADOS!H201="PP","X","")</f>
      </c>
      <c r="P220" s="73"/>
      <c r="Q220" s="73"/>
      <c r="R220" s="73"/>
      <c r="S220" s="79"/>
      <c r="T220" s="80"/>
      <c r="U220" s="78">
        <f>IF([1]DADOS!F201="","",[1]DADOS!F201)</f>
      </c>
      <c r="V220" s="81">
        <f>IF(C220="","",[1]DADOS!$D$8)</f>
      </c>
    </row>
    <row r="221" ht="21" customHeight="1" spans="2:22" x14ac:dyDescent="0.25">
      <c r="B221" s="73">
        <v>192</v>
      </c>
      <c r="C221" s="74">
        <f>IF([1]DADOS!D202="","",[1]DADOS!D202)</f>
      </c>
      <c r="D221" s="75"/>
      <c r="E221" s="76"/>
      <c r="F221" s="76"/>
      <c r="G221" s="77"/>
      <c r="H221" s="74"/>
      <c r="I221" s="78">
        <f>IF([1]DADOS!G202="","",[1]DADOS!G202)</f>
      </c>
      <c r="J221" s="73">
        <f>IF([1]DADOS!I202="MONOFÁSICO","X","")</f>
      </c>
      <c r="K221" s="73">
        <f>IF([1]DADOS!I202="BIFÁSICO","X","")</f>
      </c>
      <c r="L221" s="73">
        <f>IF([1]DADOS!I202="TRIFÁSICO","X","")</f>
      </c>
      <c r="M221" s="73">
        <f>IF([1]DADOS!H202="5M","X","")</f>
      </c>
      <c r="N221" s="73">
        <f>IF([1]DADOS!H202="7M","X","")</f>
      </c>
      <c r="O221" s="73">
        <f>IF([1]DADOS!H202="PP","X","")</f>
      </c>
      <c r="P221" s="73"/>
      <c r="Q221" s="73"/>
      <c r="R221" s="73"/>
      <c r="S221" s="79"/>
      <c r="T221" s="80"/>
      <c r="U221" s="78">
        <f>IF([1]DADOS!F202="","",[1]DADOS!F202)</f>
      </c>
      <c r="V221" s="81">
        <f>IF(C221="","",[1]DADOS!$D$8)</f>
      </c>
    </row>
    <row r="222" ht="21" customHeight="1" spans="2:22" x14ac:dyDescent="0.25">
      <c r="B222" s="73">
        <v>193</v>
      </c>
      <c r="C222" s="74">
        <f>IF([1]DADOS!D203="","",[1]DADOS!D203)</f>
      </c>
      <c r="D222" s="75"/>
      <c r="E222" s="76"/>
      <c r="F222" s="76"/>
      <c r="G222" s="77"/>
      <c r="H222" s="74"/>
      <c r="I222" s="78">
        <f>IF([1]DADOS!G203="","",[1]DADOS!G203)</f>
      </c>
      <c r="J222" s="73">
        <f>IF([1]DADOS!I203="MONOFÁSICO","X","")</f>
      </c>
      <c r="K222" s="73">
        <f>IF([1]DADOS!I203="BIFÁSICO","X","")</f>
      </c>
      <c r="L222" s="73">
        <f>IF([1]DADOS!I203="TRIFÁSICO","X","")</f>
      </c>
      <c r="M222" s="73">
        <f>IF([1]DADOS!H203="5M","X","")</f>
      </c>
      <c r="N222" s="73">
        <f>IF([1]DADOS!H203="7M","X","")</f>
      </c>
      <c r="O222" s="73">
        <f>IF([1]DADOS!H203="PP","X","")</f>
      </c>
      <c r="P222" s="73"/>
      <c r="Q222" s="73"/>
      <c r="R222" s="73"/>
      <c r="S222" s="79"/>
      <c r="T222" s="80"/>
      <c r="U222" s="78">
        <f>IF([1]DADOS!F203="","",[1]DADOS!F203)</f>
      </c>
      <c r="V222" s="81">
        <f>IF(C222="","",[1]DADOS!$D$8)</f>
      </c>
    </row>
    <row r="223" ht="21" customHeight="1" spans="2:22" x14ac:dyDescent="0.25">
      <c r="B223" s="73">
        <v>194</v>
      </c>
      <c r="C223" s="74">
        <f>IF([1]DADOS!D204="","",[1]DADOS!D204)</f>
      </c>
      <c r="D223" s="75"/>
      <c r="E223" s="76"/>
      <c r="F223" s="76"/>
      <c r="G223" s="77"/>
      <c r="H223" s="74"/>
      <c r="I223" s="78">
        <f>IF([1]DADOS!G204="","",[1]DADOS!G204)</f>
      </c>
      <c r="J223" s="73">
        <f>IF([1]DADOS!I204="MONOFÁSICO","X","")</f>
      </c>
      <c r="K223" s="73">
        <f>IF([1]DADOS!I204="BIFÁSICO","X","")</f>
      </c>
      <c r="L223" s="73">
        <f>IF([1]DADOS!I204="TRIFÁSICO","X","")</f>
      </c>
      <c r="M223" s="73">
        <f>IF([1]DADOS!H204="5M","X","")</f>
      </c>
      <c r="N223" s="73">
        <f>IF([1]DADOS!H204="7M","X","")</f>
      </c>
      <c r="O223" s="73">
        <f>IF([1]DADOS!H204="PP","X","")</f>
      </c>
      <c r="P223" s="73"/>
      <c r="Q223" s="73"/>
      <c r="R223" s="73"/>
      <c r="S223" s="79"/>
      <c r="T223" s="80"/>
      <c r="U223" s="78">
        <f>IF([1]DADOS!F204="","",[1]DADOS!F204)</f>
      </c>
      <c r="V223" s="81">
        <f>IF(C223="","",[1]DADOS!$D$8)</f>
      </c>
    </row>
    <row r="224" ht="21" customHeight="1" spans="2:22" x14ac:dyDescent="0.25">
      <c r="B224" s="73">
        <v>195</v>
      </c>
      <c r="C224" s="74">
        <f>IF([1]DADOS!D205="","",[1]DADOS!D205)</f>
      </c>
      <c r="D224" s="75"/>
      <c r="E224" s="76"/>
      <c r="F224" s="76"/>
      <c r="G224" s="77"/>
      <c r="H224" s="74"/>
      <c r="I224" s="78">
        <f>IF([1]DADOS!G205="","",[1]DADOS!G205)</f>
      </c>
      <c r="J224" s="73">
        <f>IF([1]DADOS!I205="MONOFÁSICO","X","")</f>
      </c>
      <c r="K224" s="73">
        <f>IF([1]DADOS!I205="BIFÁSICO","X","")</f>
      </c>
      <c r="L224" s="73">
        <f>IF([1]DADOS!I205="TRIFÁSICO","X","")</f>
      </c>
      <c r="M224" s="73">
        <f>IF([1]DADOS!H205="5M","X","")</f>
      </c>
      <c r="N224" s="73">
        <f>IF([1]DADOS!H205="7M","X","")</f>
      </c>
      <c r="O224" s="73">
        <f>IF([1]DADOS!H205="PP","X","")</f>
      </c>
      <c r="P224" s="73"/>
      <c r="Q224" s="73"/>
      <c r="R224" s="73"/>
      <c r="S224" s="79"/>
      <c r="T224" s="80"/>
      <c r="U224" s="78">
        <f>IF([1]DADOS!F205="","",[1]DADOS!F205)</f>
      </c>
      <c r="V224" s="81">
        <f>IF(C224="","",[1]DADOS!$D$8)</f>
      </c>
    </row>
    <row r="225" ht="21" customHeight="1" spans="2:22" x14ac:dyDescent="0.25">
      <c r="B225" s="73">
        <v>196</v>
      </c>
      <c r="C225" s="74">
        <f>IF([1]DADOS!D206="","",[1]DADOS!D206)</f>
      </c>
      <c r="D225" s="75"/>
      <c r="E225" s="76"/>
      <c r="F225" s="76"/>
      <c r="G225" s="77"/>
      <c r="H225" s="74"/>
      <c r="I225" s="78">
        <f>IF([1]DADOS!G206="","",[1]DADOS!G206)</f>
      </c>
      <c r="J225" s="73">
        <f>IF([1]DADOS!I206="MONOFÁSICO","X","")</f>
      </c>
      <c r="K225" s="73">
        <f>IF([1]DADOS!I206="BIFÁSICO","X","")</f>
      </c>
      <c r="L225" s="73">
        <f>IF([1]DADOS!I206="TRIFÁSICO","X","")</f>
      </c>
      <c r="M225" s="73">
        <f>IF([1]DADOS!H206="5M","X","")</f>
      </c>
      <c r="N225" s="73">
        <f>IF([1]DADOS!H206="7M","X","")</f>
      </c>
      <c r="O225" s="73">
        <f>IF([1]DADOS!H206="PP","X","")</f>
      </c>
      <c r="P225" s="73"/>
      <c r="Q225" s="73"/>
      <c r="R225" s="73"/>
      <c r="S225" s="79"/>
      <c r="T225" s="80"/>
      <c r="U225" s="78">
        <f>IF([1]DADOS!F206="","",[1]DADOS!F206)</f>
      </c>
      <c r="V225" s="81">
        <f>IF(C225="","",[1]DADOS!$D$8)</f>
      </c>
    </row>
    <row r="226" ht="21" customHeight="1" spans="2:22" x14ac:dyDescent="0.25">
      <c r="B226" s="73">
        <v>197</v>
      </c>
      <c r="C226" s="74">
        <f>IF([1]DADOS!D207="","",[1]DADOS!D207)</f>
      </c>
      <c r="D226" s="75"/>
      <c r="E226" s="76"/>
      <c r="F226" s="76"/>
      <c r="G226" s="77"/>
      <c r="H226" s="74"/>
      <c r="I226" s="78">
        <f>IF([1]DADOS!G207="","",[1]DADOS!G207)</f>
      </c>
      <c r="J226" s="73">
        <f>IF([1]DADOS!I207="MONOFÁSICO","X","")</f>
      </c>
      <c r="K226" s="73">
        <f>IF([1]DADOS!I207="BIFÁSICO","X","")</f>
      </c>
      <c r="L226" s="73">
        <f>IF([1]DADOS!I207="TRIFÁSICO","X","")</f>
      </c>
      <c r="M226" s="73">
        <f>IF([1]DADOS!H207="5M","X","")</f>
      </c>
      <c r="N226" s="73">
        <f>IF([1]DADOS!H207="7M","X","")</f>
      </c>
      <c r="O226" s="73">
        <f>IF([1]DADOS!H207="PP","X","")</f>
      </c>
      <c r="P226" s="73"/>
      <c r="Q226" s="73"/>
      <c r="R226" s="73"/>
      <c r="S226" s="79"/>
      <c r="T226" s="80"/>
      <c r="U226" s="78">
        <f>IF([1]DADOS!F207="","",[1]DADOS!F207)</f>
      </c>
      <c r="V226" s="81">
        <f>IF(C226="","",[1]DADOS!$D$8)</f>
      </c>
    </row>
    <row r="227" ht="21" customHeight="1" spans="2:22" x14ac:dyDescent="0.25">
      <c r="B227" s="73">
        <v>198</v>
      </c>
      <c r="C227" s="74">
        <f>IF([1]DADOS!D208="","",[1]DADOS!D208)</f>
      </c>
      <c r="D227" s="75"/>
      <c r="E227" s="76"/>
      <c r="F227" s="76"/>
      <c r="G227" s="77"/>
      <c r="H227" s="74"/>
      <c r="I227" s="78">
        <f>IF([1]DADOS!G208="","",[1]DADOS!G208)</f>
      </c>
      <c r="J227" s="73">
        <f>IF([1]DADOS!I208="MONOFÁSICO","X","")</f>
      </c>
      <c r="K227" s="73">
        <f>IF([1]DADOS!I208="BIFÁSICO","X","")</f>
      </c>
      <c r="L227" s="73">
        <f>IF([1]DADOS!I208="TRIFÁSICO","X","")</f>
      </c>
      <c r="M227" s="73">
        <f>IF([1]DADOS!H208="5M","X","")</f>
      </c>
      <c r="N227" s="73">
        <f>IF([1]DADOS!H208="7M","X","")</f>
      </c>
      <c r="O227" s="73">
        <f>IF([1]DADOS!H208="PP","X","")</f>
      </c>
      <c r="P227" s="73"/>
      <c r="Q227" s="73"/>
      <c r="R227" s="73"/>
      <c r="S227" s="79"/>
      <c r="T227" s="80"/>
      <c r="U227" s="78">
        <f>IF([1]DADOS!F208="","",[1]DADOS!F208)</f>
      </c>
      <c r="V227" s="81">
        <f>IF(C227="","",[1]DADOS!$D$8)</f>
      </c>
    </row>
    <row r="228" ht="21" customHeight="1" spans="2:22" x14ac:dyDescent="0.25">
      <c r="B228" s="73">
        <v>199</v>
      </c>
      <c r="C228" s="74">
        <f>IF([1]DADOS!D209="","",[1]DADOS!D209)</f>
      </c>
      <c r="D228" s="75"/>
      <c r="E228" s="76"/>
      <c r="F228" s="76"/>
      <c r="G228" s="77"/>
      <c r="H228" s="74"/>
      <c r="I228" s="78">
        <f>IF([1]DADOS!G209="","",[1]DADOS!G209)</f>
      </c>
      <c r="J228" s="73">
        <f>IF([1]DADOS!I209="MONOFÁSICO","X","")</f>
      </c>
      <c r="K228" s="73">
        <f>IF([1]DADOS!I209="BIFÁSICO","X","")</f>
      </c>
      <c r="L228" s="73">
        <f>IF([1]DADOS!I209="TRIFÁSICO","X","")</f>
      </c>
      <c r="M228" s="73">
        <f>IF([1]DADOS!H209="5M","X","")</f>
      </c>
      <c r="N228" s="73">
        <f>IF([1]DADOS!H209="7M","X","")</f>
      </c>
      <c r="O228" s="73">
        <f>IF([1]DADOS!H209="PP","X","")</f>
      </c>
      <c r="P228" s="73"/>
      <c r="Q228" s="73"/>
      <c r="R228" s="73"/>
      <c r="S228" s="79"/>
      <c r="T228" s="80"/>
      <c r="U228" s="78">
        <f>IF([1]DADOS!F209="","",[1]DADOS!F209)</f>
      </c>
      <c r="V228" s="81">
        <f>IF(C228="","",[1]DADOS!$D$8)</f>
      </c>
    </row>
    <row r="229" ht="21" customHeight="1" spans="2:22" x14ac:dyDescent="0.25">
      <c r="B229" s="73">
        <v>200</v>
      </c>
      <c r="C229" s="74">
        <f>IF([1]DADOS!D210="","",[1]DADOS!D210)</f>
      </c>
      <c r="D229" s="75"/>
      <c r="E229" s="76"/>
      <c r="F229" s="76"/>
      <c r="G229" s="77"/>
      <c r="H229" s="74"/>
      <c r="I229" s="78">
        <f>IF([1]DADOS!G210="","",[1]DADOS!G210)</f>
      </c>
      <c r="J229" s="73">
        <f>IF([1]DADOS!I210="MONOFÁSICO","X","")</f>
      </c>
      <c r="K229" s="73">
        <f>IF([1]DADOS!I210="BIFÁSICO","X","")</f>
      </c>
      <c r="L229" s="73">
        <f>IF([1]DADOS!I210="TRIFÁSICO","X","")</f>
      </c>
      <c r="M229" s="73">
        <f>IF([1]DADOS!H210="5M","X","")</f>
      </c>
      <c r="N229" s="73">
        <f>IF([1]DADOS!H210="7M","X","")</f>
      </c>
      <c r="O229" s="73">
        <f>IF([1]DADOS!H210="PP","X","")</f>
      </c>
      <c r="P229" s="73"/>
      <c r="Q229" s="73"/>
      <c r="R229" s="73"/>
      <c r="S229" s="79"/>
      <c r="T229" s="80"/>
      <c r="U229" s="78">
        <f>IF([1]DADOS!F210="","",[1]DADOS!F210)</f>
      </c>
      <c r="V229" s="81">
        <f>IF(C229="","",[1]DADOS!$D$8)</f>
      </c>
    </row>
    <row r="230" ht="21" customHeight="1" spans="2:22" x14ac:dyDescent="0.25">
      <c r="B230" s="73">
        <v>201</v>
      </c>
      <c r="C230" s="74">
        <f>IF([1]DADOS!D211="","",[1]DADOS!D211)</f>
      </c>
      <c r="D230" s="75"/>
      <c r="E230" s="76"/>
      <c r="F230" s="76"/>
      <c r="G230" s="77"/>
      <c r="H230" s="74"/>
      <c r="I230" s="78">
        <f>IF([1]DADOS!G211="","",[1]DADOS!G211)</f>
      </c>
      <c r="J230" s="73">
        <f>IF([1]DADOS!I211="MONOFÁSICO","X","")</f>
      </c>
      <c r="K230" s="73">
        <f>IF([1]DADOS!I211="BIFÁSICO","X","")</f>
      </c>
      <c r="L230" s="73">
        <f>IF([1]DADOS!I211="TRIFÁSICO","X","")</f>
      </c>
      <c r="M230" s="73">
        <f>IF([1]DADOS!H211="5M","X","")</f>
      </c>
      <c r="N230" s="73">
        <f>IF([1]DADOS!H211="7M","X","")</f>
      </c>
      <c r="O230" s="73">
        <f>IF([1]DADOS!H211="PP","X","")</f>
      </c>
      <c r="P230" s="73"/>
      <c r="Q230" s="73"/>
      <c r="R230" s="73"/>
      <c r="S230" s="79"/>
      <c r="T230" s="80"/>
      <c r="U230" s="78">
        <f>IF([1]DADOS!F211="","",[1]DADOS!F211)</f>
      </c>
      <c r="V230" s="81">
        <f>IF(C230="","",[1]DADOS!$D$8)</f>
      </c>
    </row>
    <row r="231" ht="21" customHeight="1" spans="2:22" x14ac:dyDescent="0.25">
      <c r="B231" s="73">
        <v>202</v>
      </c>
      <c r="C231" s="74">
        <f>IF([1]DADOS!D212="","",[1]DADOS!D212)</f>
      </c>
      <c r="D231" s="75"/>
      <c r="E231" s="76"/>
      <c r="F231" s="76"/>
      <c r="G231" s="77"/>
      <c r="H231" s="74"/>
      <c r="I231" s="78">
        <f>IF([1]DADOS!G212="","",[1]DADOS!G212)</f>
      </c>
      <c r="J231" s="73">
        <f>IF([1]DADOS!I212="MONOFÁSICO","X","")</f>
      </c>
      <c r="K231" s="73">
        <f>IF([1]DADOS!I212="BIFÁSICO","X","")</f>
      </c>
      <c r="L231" s="73">
        <f>IF([1]DADOS!I212="TRIFÁSICO","X","")</f>
      </c>
      <c r="M231" s="73">
        <f>IF([1]DADOS!H212="5M","X","")</f>
      </c>
      <c r="N231" s="73">
        <f>IF([1]DADOS!H212="7M","X","")</f>
      </c>
      <c r="O231" s="73">
        <f>IF([1]DADOS!H212="PP","X","")</f>
      </c>
      <c r="P231" s="73"/>
      <c r="Q231" s="73"/>
      <c r="R231" s="73"/>
      <c r="S231" s="79"/>
      <c r="T231" s="80"/>
      <c r="U231" s="78">
        <f>IF([1]DADOS!F212="","",[1]DADOS!F212)</f>
      </c>
      <c r="V231" s="81">
        <f>IF(C231="","",[1]DADOS!$D$8)</f>
      </c>
    </row>
    <row r="232" ht="21" customHeight="1" spans="2:22" x14ac:dyDescent="0.25">
      <c r="B232" s="73">
        <v>203</v>
      </c>
      <c r="C232" s="74">
        <f>IF([1]DADOS!D213="","",[1]DADOS!D213)</f>
      </c>
      <c r="D232" s="75"/>
      <c r="E232" s="76"/>
      <c r="F232" s="76"/>
      <c r="G232" s="77"/>
      <c r="H232" s="74"/>
      <c r="I232" s="78">
        <f>IF([1]DADOS!G213="","",[1]DADOS!G213)</f>
      </c>
      <c r="J232" s="73">
        <f>IF([1]DADOS!I213="MONOFÁSICO","X","")</f>
      </c>
      <c r="K232" s="73">
        <f>IF([1]DADOS!I213="BIFÁSICO","X","")</f>
      </c>
      <c r="L232" s="73">
        <f>IF([1]DADOS!I213="TRIFÁSICO","X","")</f>
      </c>
      <c r="M232" s="73">
        <f>IF([1]DADOS!H213="5M","X","")</f>
      </c>
      <c r="N232" s="73">
        <f>IF([1]DADOS!H213="7M","X","")</f>
      </c>
      <c r="O232" s="73">
        <f>IF([1]DADOS!H213="PP","X","")</f>
      </c>
      <c r="P232" s="73"/>
      <c r="Q232" s="73"/>
      <c r="R232" s="73"/>
      <c r="S232" s="79"/>
      <c r="T232" s="80"/>
      <c r="U232" s="78">
        <f>IF([1]DADOS!F213="","",[1]DADOS!F213)</f>
      </c>
      <c r="V232" s="81">
        <f>IF(C232="","",[1]DADOS!$D$8)</f>
      </c>
    </row>
    <row r="233" ht="21" customHeight="1" spans="2:22" x14ac:dyDescent="0.25">
      <c r="B233" s="73">
        <v>204</v>
      </c>
      <c r="C233" s="74">
        <f>IF([1]DADOS!D214="","",[1]DADOS!D214)</f>
      </c>
      <c r="D233" s="75"/>
      <c r="E233" s="76"/>
      <c r="F233" s="76"/>
      <c r="G233" s="77"/>
      <c r="H233" s="74"/>
      <c r="I233" s="78">
        <f>IF([1]DADOS!G214="","",[1]DADOS!G214)</f>
      </c>
      <c r="J233" s="73">
        <f>IF([1]DADOS!I214="MONOFÁSICO","X","")</f>
      </c>
      <c r="K233" s="73">
        <f>IF([1]DADOS!I214="BIFÁSICO","X","")</f>
      </c>
      <c r="L233" s="73">
        <f>IF([1]DADOS!I214="TRIFÁSICO","X","")</f>
      </c>
      <c r="M233" s="73">
        <f>IF([1]DADOS!H214="5M","X","")</f>
      </c>
      <c r="N233" s="73">
        <f>IF([1]DADOS!H214="7M","X","")</f>
      </c>
      <c r="O233" s="73">
        <f>IF([1]DADOS!H214="PP","X","")</f>
      </c>
      <c r="P233" s="73"/>
      <c r="Q233" s="73"/>
      <c r="R233" s="73"/>
      <c r="S233" s="79"/>
      <c r="T233" s="80"/>
      <c r="U233" s="78">
        <f>IF([1]DADOS!F214="","",[1]DADOS!F214)</f>
      </c>
      <c r="V233" s="81">
        <f>IF(C233="","",[1]DADOS!$D$8)</f>
      </c>
    </row>
    <row r="234" ht="21" customHeight="1" spans="2:22" x14ac:dyDescent="0.25">
      <c r="B234" s="73">
        <v>205</v>
      </c>
      <c r="C234" s="74">
        <f>IF([1]DADOS!D215="","",[1]DADOS!D215)</f>
      </c>
      <c r="D234" s="75"/>
      <c r="E234" s="76"/>
      <c r="F234" s="76"/>
      <c r="G234" s="77"/>
      <c r="H234" s="74"/>
      <c r="I234" s="78">
        <f>IF([1]DADOS!G215="","",[1]DADOS!G215)</f>
      </c>
      <c r="J234" s="73">
        <f>IF([1]DADOS!I215="MONOFÁSICO","X","")</f>
      </c>
      <c r="K234" s="73">
        <f>IF([1]DADOS!I215="BIFÁSICO","X","")</f>
      </c>
      <c r="L234" s="73">
        <f>IF([1]DADOS!I215="TRIFÁSICO","X","")</f>
      </c>
      <c r="M234" s="73">
        <f>IF([1]DADOS!H215="5M","X","")</f>
      </c>
      <c r="N234" s="73">
        <f>IF([1]DADOS!H215="7M","X","")</f>
      </c>
      <c r="O234" s="73">
        <f>IF([1]DADOS!H215="PP","X","")</f>
      </c>
      <c r="P234" s="73"/>
      <c r="Q234" s="73"/>
      <c r="R234" s="73"/>
      <c r="S234" s="79"/>
      <c r="T234" s="80"/>
      <c r="U234" s="78">
        <f>IF([1]DADOS!F215="","",[1]DADOS!F215)</f>
      </c>
      <c r="V234" s="81">
        <f>IF(C234="","",[1]DADOS!$D$8)</f>
      </c>
    </row>
    <row r="235" ht="21" customHeight="1" spans="2:22" x14ac:dyDescent="0.25">
      <c r="B235" s="73">
        <v>206</v>
      </c>
      <c r="C235" s="74">
        <f>IF([1]DADOS!D216="","",[1]DADOS!D216)</f>
      </c>
      <c r="D235" s="75"/>
      <c r="E235" s="76"/>
      <c r="F235" s="76"/>
      <c r="G235" s="77"/>
      <c r="H235" s="74"/>
      <c r="I235" s="78">
        <f>IF([1]DADOS!G216="","",[1]DADOS!G216)</f>
      </c>
      <c r="J235" s="73">
        <f>IF([1]DADOS!I216="MONOFÁSICO","X","")</f>
      </c>
      <c r="K235" s="73">
        <f>IF([1]DADOS!I216="BIFÁSICO","X","")</f>
      </c>
      <c r="L235" s="73">
        <f>IF([1]DADOS!I216="TRIFÁSICO","X","")</f>
      </c>
      <c r="M235" s="73">
        <f>IF([1]DADOS!H216="5M","X","")</f>
      </c>
      <c r="N235" s="73">
        <f>IF([1]DADOS!H216="7M","X","")</f>
      </c>
      <c r="O235" s="73">
        <f>IF([1]DADOS!H216="PP","X","")</f>
      </c>
      <c r="P235" s="73"/>
      <c r="Q235" s="73"/>
      <c r="R235" s="73"/>
      <c r="S235" s="79"/>
      <c r="T235" s="80"/>
      <c r="U235" s="78">
        <f>IF([1]DADOS!F216="","",[1]DADOS!F216)</f>
      </c>
      <c r="V235" s="81">
        <f>IF(C235="","",[1]DADOS!$D$8)</f>
      </c>
    </row>
    <row r="236" ht="21" customHeight="1" spans="2:22" x14ac:dyDescent="0.25">
      <c r="B236" s="73">
        <v>207</v>
      </c>
      <c r="C236" s="74">
        <f>IF([1]DADOS!D217="","",[1]DADOS!D217)</f>
      </c>
      <c r="D236" s="75"/>
      <c r="E236" s="76"/>
      <c r="F236" s="76"/>
      <c r="G236" s="77"/>
      <c r="H236" s="74"/>
      <c r="I236" s="78">
        <f>IF([1]DADOS!G217="","",[1]DADOS!G217)</f>
      </c>
      <c r="J236" s="73">
        <f>IF([1]DADOS!I217="MONOFÁSICO","X","")</f>
      </c>
      <c r="K236" s="73">
        <f>IF([1]DADOS!I217="BIFÁSICO","X","")</f>
      </c>
      <c r="L236" s="73">
        <f>IF([1]DADOS!I217="TRIFÁSICO","X","")</f>
      </c>
      <c r="M236" s="73">
        <f>IF([1]DADOS!H217="5M","X","")</f>
      </c>
      <c r="N236" s="73">
        <f>IF([1]DADOS!H217="7M","X","")</f>
      </c>
      <c r="O236" s="73">
        <f>IF([1]DADOS!H217="PP","X","")</f>
      </c>
      <c r="P236" s="73"/>
      <c r="Q236" s="73"/>
      <c r="R236" s="73"/>
      <c r="S236" s="79"/>
      <c r="T236" s="80"/>
      <c r="U236" s="78">
        <f>IF([1]DADOS!F217="","",[1]DADOS!F217)</f>
      </c>
      <c r="V236" s="81">
        <f>IF(C236="","",[1]DADOS!$D$8)</f>
      </c>
    </row>
    <row r="237" ht="21" customHeight="1" spans="2:22" x14ac:dyDescent="0.25">
      <c r="B237" s="73">
        <v>208</v>
      </c>
      <c r="C237" s="74">
        <f>IF([1]DADOS!D218="","",[1]DADOS!D218)</f>
      </c>
      <c r="D237" s="75"/>
      <c r="E237" s="76"/>
      <c r="F237" s="76"/>
      <c r="G237" s="77"/>
      <c r="H237" s="74"/>
      <c r="I237" s="78">
        <f>IF([1]DADOS!G218="","",[1]DADOS!G218)</f>
      </c>
      <c r="J237" s="73">
        <f>IF([1]DADOS!I218="MONOFÁSICO","X","")</f>
      </c>
      <c r="K237" s="73">
        <f>IF([1]DADOS!I218="BIFÁSICO","X","")</f>
      </c>
      <c r="L237" s="73">
        <f>IF([1]DADOS!I218="TRIFÁSICO","X","")</f>
      </c>
      <c r="M237" s="73">
        <f>IF([1]DADOS!H218="5M","X","")</f>
      </c>
      <c r="N237" s="73">
        <f>IF([1]DADOS!H218="7M","X","")</f>
      </c>
      <c r="O237" s="73">
        <f>IF([1]DADOS!H218="PP","X","")</f>
      </c>
      <c r="P237" s="73"/>
      <c r="Q237" s="73"/>
      <c r="R237" s="73"/>
      <c r="S237" s="79"/>
      <c r="T237" s="80"/>
      <c r="U237" s="78">
        <f>IF([1]DADOS!F218="","",[1]DADOS!F218)</f>
      </c>
      <c r="V237" s="81">
        <f>IF(C237="","",[1]DADOS!$D$8)</f>
      </c>
    </row>
    <row r="238" ht="21" customHeight="1" spans="2:22" x14ac:dyDescent="0.25">
      <c r="B238" s="73">
        <v>209</v>
      </c>
      <c r="C238" s="74">
        <f>IF([1]DADOS!D219="","",[1]DADOS!D219)</f>
      </c>
      <c r="D238" s="75"/>
      <c r="E238" s="76"/>
      <c r="F238" s="76"/>
      <c r="G238" s="77"/>
      <c r="H238" s="74"/>
      <c r="I238" s="78">
        <f>IF([1]DADOS!G219="","",[1]DADOS!G219)</f>
      </c>
      <c r="J238" s="73">
        <f>IF([1]DADOS!I219="MONOFÁSICO","X","")</f>
      </c>
      <c r="K238" s="73">
        <f>IF([1]DADOS!I219="BIFÁSICO","X","")</f>
      </c>
      <c r="L238" s="73">
        <f>IF([1]DADOS!I219="TRIFÁSICO","X","")</f>
      </c>
      <c r="M238" s="73">
        <f>IF([1]DADOS!H219="5M","X","")</f>
      </c>
      <c r="N238" s="73">
        <f>IF([1]DADOS!H219="7M","X","")</f>
      </c>
      <c r="O238" s="73">
        <f>IF([1]DADOS!H219="PP","X","")</f>
      </c>
      <c r="P238" s="73"/>
      <c r="Q238" s="73"/>
      <c r="R238" s="73"/>
      <c r="S238" s="79"/>
      <c r="T238" s="80"/>
      <c r="U238" s="78">
        <f>IF([1]DADOS!F219="","",[1]DADOS!F219)</f>
      </c>
      <c r="V238" s="81">
        <f>IF(C238="","",[1]DADOS!$D$8)</f>
      </c>
    </row>
    <row r="239" ht="21" customHeight="1" spans="2:22" x14ac:dyDescent="0.25">
      <c r="B239" s="73">
        <v>210</v>
      </c>
      <c r="C239" s="74">
        <f>IF([1]DADOS!D220="","",[1]DADOS!D220)</f>
      </c>
      <c r="D239" s="75"/>
      <c r="E239" s="76"/>
      <c r="F239" s="76"/>
      <c r="G239" s="77"/>
      <c r="H239" s="74"/>
      <c r="I239" s="78">
        <f>IF([1]DADOS!G220="","",[1]DADOS!G220)</f>
      </c>
      <c r="J239" s="73">
        <f>IF([1]DADOS!I220="MONOFÁSICO","X","")</f>
      </c>
      <c r="K239" s="73">
        <f>IF([1]DADOS!I220="BIFÁSICO","X","")</f>
      </c>
      <c r="L239" s="73">
        <f>IF([1]DADOS!I220="TRIFÁSICO","X","")</f>
      </c>
      <c r="M239" s="73">
        <f>IF([1]DADOS!H220="5M","X","")</f>
      </c>
      <c r="N239" s="73">
        <f>IF([1]DADOS!H220="7M","X","")</f>
      </c>
      <c r="O239" s="73">
        <f>IF([1]DADOS!H220="PP","X","")</f>
      </c>
      <c r="P239" s="73"/>
      <c r="Q239" s="73"/>
      <c r="R239" s="73"/>
      <c r="S239" s="79"/>
      <c r="T239" s="80"/>
      <c r="U239" s="78">
        <f>IF([1]DADOS!F220="","",[1]DADOS!F220)</f>
      </c>
      <c r="V239" s="81">
        <f>IF(C239="","",[1]DADOS!$D$8)</f>
      </c>
    </row>
    <row r="240" ht="21" customHeight="1" spans="2:22" x14ac:dyDescent="0.25">
      <c r="B240" s="73">
        <v>211</v>
      </c>
      <c r="C240" s="74">
        <f>IF([1]DADOS!D221="","",[1]DADOS!D221)</f>
      </c>
      <c r="D240" s="75"/>
      <c r="E240" s="76"/>
      <c r="F240" s="76"/>
      <c r="G240" s="77"/>
      <c r="H240" s="74"/>
      <c r="I240" s="78">
        <f>IF([1]DADOS!G221="","",[1]DADOS!G221)</f>
      </c>
      <c r="J240" s="73">
        <f>IF([1]DADOS!I221="MONOFÁSICO","X","")</f>
      </c>
      <c r="K240" s="73">
        <f>IF([1]DADOS!I221="BIFÁSICO","X","")</f>
      </c>
      <c r="L240" s="73">
        <f>IF([1]DADOS!I221="TRIFÁSICO","X","")</f>
      </c>
      <c r="M240" s="73">
        <f>IF([1]DADOS!H221="5M","X","")</f>
      </c>
      <c r="N240" s="73">
        <f>IF([1]DADOS!H221="7M","X","")</f>
      </c>
      <c r="O240" s="73">
        <f>IF([1]DADOS!H221="PP","X","")</f>
      </c>
      <c r="P240" s="73"/>
      <c r="Q240" s="73"/>
      <c r="R240" s="73"/>
      <c r="S240" s="79"/>
      <c r="T240" s="80"/>
      <c r="U240" s="78">
        <f>IF([1]DADOS!F221="","",[1]DADOS!F221)</f>
      </c>
      <c r="V240" s="81">
        <f>IF(C240="","",[1]DADOS!$D$8)</f>
      </c>
    </row>
    <row r="241" ht="21" customHeight="1" spans="2:22" x14ac:dyDescent="0.25">
      <c r="B241" s="73">
        <v>212</v>
      </c>
      <c r="C241" s="74">
        <f>IF([1]DADOS!D222="","",[1]DADOS!D222)</f>
      </c>
      <c r="D241" s="75"/>
      <c r="E241" s="76"/>
      <c r="F241" s="76"/>
      <c r="G241" s="77"/>
      <c r="H241" s="74"/>
      <c r="I241" s="78">
        <f>IF([1]DADOS!G222="","",[1]DADOS!G222)</f>
      </c>
      <c r="J241" s="73">
        <f>IF([1]DADOS!I222="MONOFÁSICO","X","")</f>
      </c>
      <c r="K241" s="73">
        <f>IF([1]DADOS!I222="BIFÁSICO","X","")</f>
      </c>
      <c r="L241" s="73">
        <f>IF([1]DADOS!I222="TRIFÁSICO","X","")</f>
      </c>
      <c r="M241" s="73">
        <f>IF([1]DADOS!H222="5M","X","")</f>
      </c>
      <c r="N241" s="73">
        <f>IF([1]DADOS!H222="7M","X","")</f>
      </c>
      <c r="O241" s="73">
        <f>IF([1]DADOS!H222="PP","X","")</f>
      </c>
      <c r="P241" s="73"/>
      <c r="Q241" s="73"/>
      <c r="R241" s="73"/>
      <c r="S241" s="79"/>
      <c r="T241" s="80"/>
      <c r="U241" s="78">
        <f>IF([1]DADOS!F222="","",[1]DADOS!F222)</f>
      </c>
      <c r="V241" s="81">
        <f>IF(C241="","",[1]DADOS!$D$8)</f>
      </c>
    </row>
    <row r="242" ht="21" customHeight="1" spans="2:22" x14ac:dyDescent="0.25">
      <c r="B242" s="73">
        <v>213</v>
      </c>
      <c r="C242" s="74">
        <f>IF([1]DADOS!D223="","",[1]DADOS!D223)</f>
      </c>
      <c r="D242" s="75"/>
      <c r="E242" s="76"/>
      <c r="F242" s="76"/>
      <c r="G242" s="77"/>
      <c r="H242" s="74"/>
      <c r="I242" s="78">
        <f>IF([1]DADOS!G223="","",[1]DADOS!G223)</f>
      </c>
      <c r="J242" s="73">
        <f>IF([1]DADOS!I223="MONOFÁSICO","X","")</f>
      </c>
      <c r="K242" s="73">
        <f>IF([1]DADOS!I223="BIFÁSICO","X","")</f>
      </c>
      <c r="L242" s="73">
        <f>IF([1]DADOS!I223="TRIFÁSICO","X","")</f>
      </c>
      <c r="M242" s="73">
        <f>IF([1]DADOS!H223="5M","X","")</f>
      </c>
      <c r="N242" s="73">
        <f>IF([1]DADOS!H223="7M","X","")</f>
      </c>
      <c r="O242" s="73">
        <f>IF([1]DADOS!H223="PP","X","")</f>
      </c>
      <c r="P242" s="73"/>
      <c r="Q242" s="73"/>
      <c r="R242" s="73"/>
      <c r="S242" s="79"/>
      <c r="T242" s="80"/>
      <c r="U242" s="78">
        <f>IF([1]DADOS!F223="","",[1]DADOS!F223)</f>
      </c>
      <c r="V242" s="81">
        <f>IF(C242="","",[1]DADOS!$D$8)</f>
      </c>
    </row>
    <row r="243" ht="21" customHeight="1" spans="2:22" x14ac:dyDescent="0.25">
      <c r="B243" s="73">
        <v>214</v>
      </c>
      <c r="C243" s="74">
        <f>IF([1]DADOS!D224="","",[1]DADOS!D224)</f>
      </c>
      <c r="D243" s="75"/>
      <c r="E243" s="76"/>
      <c r="F243" s="76"/>
      <c r="G243" s="77"/>
      <c r="H243" s="74"/>
      <c r="I243" s="78">
        <f>IF([1]DADOS!G224="","",[1]DADOS!G224)</f>
      </c>
      <c r="J243" s="73">
        <f>IF([1]DADOS!I224="MONOFÁSICO","X","")</f>
      </c>
      <c r="K243" s="73">
        <f>IF([1]DADOS!I224="BIFÁSICO","X","")</f>
      </c>
      <c r="L243" s="73">
        <f>IF([1]DADOS!I224="TRIFÁSICO","X","")</f>
      </c>
      <c r="M243" s="73">
        <f>IF([1]DADOS!H224="5M","X","")</f>
      </c>
      <c r="N243" s="73">
        <f>IF([1]DADOS!H224="7M","X","")</f>
      </c>
      <c r="O243" s="73">
        <f>IF([1]DADOS!H224="PP","X","")</f>
      </c>
      <c r="P243" s="73"/>
      <c r="Q243" s="73"/>
      <c r="R243" s="73"/>
      <c r="S243" s="79"/>
      <c r="T243" s="80"/>
      <c r="U243" s="78">
        <f>IF([1]DADOS!F224="","",[1]DADOS!F224)</f>
      </c>
      <c r="V243" s="81">
        <f>IF(C243="","",[1]DADOS!$D$8)</f>
      </c>
    </row>
    <row r="244" ht="21" customHeight="1" spans="2:22" x14ac:dyDescent="0.25">
      <c r="B244" s="73">
        <v>215</v>
      </c>
      <c r="C244" s="74">
        <f>IF([1]DADOS!D225="","",[1]DADOS!D225)</f>
      </c>
      <c r="D244" s="75"/>
      <c r="E244" s="76"/>
      <c r="F244" s="76"/>
      <c r="G244" s="77"/>
      <c r="H244" s="74"/>
      <c r="I244" s="78">
        <f>IF([1]DADOS!G225="","",[1]DADOS!G225)</f>
      </c>
      <c r="J244" s="73">
        <f>IF([1]DADOS!I225="MONOFÁSICO","X","")</f>
      </c>
      <c r="K244" s="73">
        <f>IF([1]DADOS!I225="BIFÁSICO","X","")</f>
      </c>
      <c r="L244" s="73">
        <f>IF([1]DADOS!I225="TRIFÁSICO","X","")</f>
      </c>
      <c r="M244" s="73">
        <f>IF([1]DADOS!H225="5M","X","")</f>
      </c>
      <c r="N244" s="73">
        <f>IF([1]DADOS!H225="7M","X","")</f>
      </c>
      <c r="O244" s="73">
        <f>IF([1]DADOS!H225="PP","X","")</f>
      </c>
      <c r="P244" s="73"/>
      <c r="Q244" s="73"/>
      <c r="R244" s="73"/>
      <c r="S244" s="79"/>
      <c r="T244" s="80"/>
      <c r="U244" s="78">
        <f>IF([1]DADOS!F225="","",[1]DADOS!F225)</f>
      </c>
      <c r="V244" s="81">
        <f>IF(C244="","",[1]DADOS!$D$8)</f>
      </c>
    </row>
    <row r="245" ht="21" customHeight="1" spans="2:22" x14ac:dyDescent="0.25">
      <c r="B245" s="73">
        <v>216</v>
      </c>
      <c r="C245" s="74">
        <f>IF([1]DADOS!D226="","",[1]DADOS!D226)</f>
      </c>
      <c r="D245" s="75"/>
      <c r="E245" s="76"/>
      <c r="F245" s="76"/>
      <c r="G245" s="77"/>
      <c r="H245" s="74"/>
      <c r="I245" s="78">
        <f>IF([1]DADOS!G226="","",[1]DADOS!G226)</f>
      </c>
      <c r="J245" s="73">
        <f>IF([1]DADOS!I226="MONOFÁSICO","X","")</f>
      </c>
      <c r="K245" s="73">
        <f>IF([1]DADOS!I226="BIFÁSICO","X","")</f>
      </c>
      <c r="L245" s="73">
        <f>IF([1]DADOS!I226="TRIFÁSICO","X","")</f>
      </c>
      <c r="M245" s="73">
        <f>IF([1]DADOS!H226="5M","X","")</f>
      </c>
      <c r="N245" s="73">
        <f>IF([1]DADOS!H226="7M","X","")</f>
      </c>
      <c r="O245" s="73">
        <f>IF([1]DADOS!H226="PP","X","")</f>
      </c>
      <c r="P245" s="73"/>
      <c r="Q245" s="73"/>
      <c r="R245" s="73"/>
      <c r="S245" s="79"/>
      <c r="T245" s="80"/>
      <c r="U245" s="78">
        <f>IF([1]DADOS!F226="","",[1]DADOS!F226)</f>
      </c>
      <c r="V245" s="81">
        <f>IF(C245="","",[1]DADOS!$D$8)</f>
      </c>
    </row>
    <row r="246" ht="21" customHeight="1" spans="2:22" x14ac:dyDescent="0.25">
      <c r="B246" s="73">
        <v>217</v>
      </c>
      <c r="C246" s="74">
        <f>IF([1]DADOS!D227="","",[1]DADOS!D227)</f>
      </c>
      <c r="D246" s="75"/>
      <c r="E246" s="76"/>
      <c r="F246" s="76"/>
      <c r="G246" s="77"/>
      <c r="H246" s="74"/>
      <c r="I246" s="78">
        <f>IF([1]DADOS!G227="","",[1]DADOS!G227)</f>
      </c>
      <c r="J246" s="73">
        <f>IF([1]DADOS!I227="MONOFÁSICO","X","")</f>
      </c>
      <c r="K246" s="73">
        <f>IF([1]DADOS!I227="BIFÁSICO","X","")</f>
      </c>
      <c r="L246" s="73">
        <f>IF([1]DADOS!I227="TRIFÁSICO","X","")</f>
      </c>
      <c r="M246" s="73">
        <f>IF([1]DADOS!H227="5M","X","")</f>
      </c>
      <c r="N246" s="73">
        <f>IF([1]DADOS!H227="7M","X","")</f>
      </c>
      <c r="O246" s="73">
        <f>IF([1]DADOS!H227="PP","X","")</f>
      </c>
      <c r="P246" s="73"/>
      <c r="Q246" s="73"/>
      <c r="R246" s="73"/>
      <c r="S246" s="79"/>
      <c r="T246" s="80"/>
      <c r="U246" s="78">
        <f>IF([1]DADOS!F227="","",[1]DADOS!F227)</f>
      </c>
      <c r="V246" s="81">
        <f>IF(C246="","",[1]DADOS!$D$8)</f>
      </c>
    </row>
    <row r="247" ht="21" customHeight="1" spans="2:22" x14ac:dyDescent="0.25">
      <c r="B247" s="73">
        <v>218</v>
      </c>
      <c r="C247" s="74">
        <f>IF([1]DADOS!D228="","",[1]DADOS!D228)</f>
      </c>
      <c r="D247" s="75"/>
      <c r="E247" s="76"/>
      <c r="F247" s="76"/>
      <c r="G247" s="77"/>
      <c r="H247" s="74"/>
      <c r="I247" s="78">
        <f>IF([1]DADOS!G228="","",[1]DADOS!G228)</f>
      </c>
      <c r="J247" s="73">
        <f>IF([1]DADOS!I228="MONOFÁSICO","X","")</f>
      </c>
      <c r="K247" s="73">
        <f>IF([1]DADOS!I228="BIFÁSICO","X","")</f>
      </c>
      <c r="L247" s="73">
        <f>IF([1]DADOS!I228="TRIFÁSICO","X","")</f>
      </c>
      <c r="M247" s="73">
        <f>IF([1]DADOS!H228="5M","X","")</f>
      </c>
      <c r="N247" s="73">
        <f>IF([1]DADOS!H228="7M","X","")</f>
      </c>
      <c r="O247" s="73">
        <f>IF([1]DADOS!H228="PP","X","")</f>
      </c>
      <c r="P247" s="73"/>
      <c r="Q247" s="73"/>
      <c r="R247" s="73"/>
      <c r="S247" s="79"/>
      <c r="T247" s="80"/>
      <c r="U247" s="78">
        <f>IF([1]DADOS!F228="","",[1]DADOS!F228)</f>
      </c>
      <c r="V247" s="81">
        <f>IF(C247="","",[1]DADOS!$D$8)</f>
      </c>
    </row>
    <row r="248" ht="21" customHeight="1" spans="2:22" x14ac:dyDescent="0.25">
      <c r="B248" s="73">
        <v>219</v>
      </c>
      <c r="C248" s="74">
        <f>IF([1]DADOS!D229="","",[1]DADOS!D229)</f>
      </c>
      <c r="D248" s="75"/>
      <c r="E248" s="76"/>
      <c r="F248" s="76"/>
      <c r="G248" s="77"/>
      <c r="H248" s="74"/>
      <c r="I248" s="78">
        <f>IF([1]DADOS!G229="","",[1]DADOS!G229)</f>
      </c>
      <c r="J248" s="73">
        <f>IF([1]DADOS!I229="MONOFÁSICO","X","")</f>
      </c>
      <c r="K248" s="73">
        <f>IF([1]DADOS!I229="BIFÁSICO","X","")</f>
      </c>
      <c r="L248" s="73">
        <f>IF([1]DADOS!I229="TRIFÁSICO","X","")</f>
      </c>
      <c r="M248" s="73">
        <f>IF([1]DADOS!H229="5M","X","")</f>
      </c>
      <c r="N248" s="73">
        <f>IF([1]DADOS!H229="7M","X","")</f>
      </c>
      <c r="O248" s="73">
        <f>IF([1]DADOS!H229="PP","X","")</f>
      </c>
      <c r="P248" s="73"/>
      <c r="Q248" s="73"/>
      <c r="R248" s="73"/>
      <c r="S248" s="79"/>
      <c r="T248" s="80"/>
      <c r="U248" s="78">
        <f>IF([1]DADOS!F229="","",[1]DADOS!F229)</f>
      </c>
      <c r="V248" s="81">
        <f>IF(C248="","",[1]DADOS!$D$8)</f>
      </c>
    </row>
    <row r="249" ht="21" customHeight="1" spans="2:22" x14ac:dyDescent="0.25">
      <c r="B249" s="73">
        <v>220</v>
      </c>
      <c r="C249" s="74">
        <f>IF([1]DADOS!D230="","",[1]DADOS!D230)</f>
      </c>
      <c r="D249" s="75"/>
      <c r="E249" s="76"/>
      <c r="F249" s="76"/>
      <c r="G249" s="77"/>
      <c r="H249" s="74"/>
      <c r="I249" s="78">
        <f>IF([1]DADOS!G230="","",[1]DADOS!G230)</f>
      </c>
      <c r="J249" s="73">
        <f>IF([1]DADOS!I230="MONOFÁSICO","X","")</f>
      </c>
      <c r="K249" s="73">
        <f>IF([1]DADOS!I230="BIFÁSICO","X","")</f>
      </c>
      <c r="L249" s="73">
        <f>IF([1]DADOS!I230="TRIFÁSICO","X","")</f>
      </c>
      <c r="M249" s="73">
        <f>IF([1]DADOS!H230="5M","X","")</f>
      </c>
      <c r="N249" s="73">
        <f>IF([1]DADOS!H230="7M","X","")</f>
      </c>
      <c r="O249" s="73">
        <f>IF([1]DADOS!H230="PP","X","")</f>
      </c>
      <c r="P249" s="73"/>
      <c r="Q249" s="73"/>
      <c r="R249" s="73"/>
      <c r="S249" s="79"/>
      <c r="T249" s="80"/>
      <c r="U249" s="78">
        <f>IF([1]DADOS!F230="","",[1]DADOS!F230)</f>
      </c>
      <c r="V249" s="81">
        <f>IF(C249="","",[1]DADOS!$D$8)</f>
      </c>
    </row>
    <row r="250" ht="21" customHeight="1" spans="2:22" x14ac:dyDescent="0.25">
      <c r="B250" s="73">
        <v>221</v>
      </c>
      <c r="C250" s="74">
        <f>IF([1]DADOS!D231="","",[1]DADOS!D231)</f>
      </c>
      <c r="D250" s="75"/>
      <c r="E250" s="76"/>
      <c r="F250" s="76"/>
      <c r="G250" s="77"/>
      <c r="H250" s="74"/>
      <c r="I250" s="78">
        <f>IF([1]DADOS!G231="","",[1]DADOS!G231)</f>
      </c>
      <c r="J250" s="73">
        <f>IF([1]DADOS!I231="MONOFÁSICO","X","")</f>
      </c>
      <c r="K250" s="73">
        <f>IF([1]DADOS!I231="BIFÁSICO","X","")</f>
      </c>
      <c r="L250" s="73">
        <f>IF([1]DADOS!I231="TRIFÁSICO","X","")</f>
      </c>
      <c r="M250" s="73">
        <f>IF([1]DADOS!H231="5M","X","")</f>
      </c>
      <c r="N250" s="73">
        <f>IF([1]DADOS!H231="7M","X","")</f>
      </c>
      <c r="O250" s="73">
        <f>IF([1]DADOS!H231="PP","X","")</f>
      </c>
      <c r="P250" s="73"/>
      <c r="Q250" s="73"/>
      <c r="R250" s="73"/>
      <c r="S250" s="79"/>
      <c r="T250" s="80"/>
      <c r="U250" s="78">
        <f>IF([1]DADOS!F231="","",[1]DADOS!F231)</f>
      </c>
      <c r="V250" s="81">
        <f>IF(C250="","",[1]DADOS!$D$8)</f>
      </c>
    </row>
    <row r="251" ht="21" customHeight="1" spans="2:22" x14ac:dyDescent="0.25">
      <c r="B251" s="73">
        <v>222</v>
      </c>
      <c r="C251" s="74">
        <f>IF([1]DADOS!D232="","",[1]DADOS!D232)</f>
      </c>
      <c r="D251" s="75"/>
      <c r="E251" s="76"/>
      <c r="F251" s="76"/>
      <c r="G251" s="77"/>
      <c r="H251" s="74"/>
      <c r="I251" s="78">
        <f>IF([1]DADOS!G232="","",[1]DADOS!G232)</f>
      </c>
      <c r="J251" s="73">
        <f>IF([1]DADOS!I232="MONOFÁSICO","X","")</f>
      </c>
      <c r="K251" s="73">
        <f>IF([1]DADOS!I232="BIFÁSICO","X","")</f>
      </c>
      <c r="L251" s="73">
        <f>IF([1]DADOS!I232="TRIFÁSICO","X","")</f>
      </c>
      <c r="M251" s="73">
        <f>IF([1]DADOS!H232="5M","X","")</f>
      </c>
      <c r="N251" s="73">
        <f>IF([1]DADOS!H232="7M","X","")</f>
      </c>
      <c r="O251" s="73">
        <f>IF([1]DADOS!H232="PP","X","")</f>
      </c>
      <c r="P251" s="73"/>
      <c r="Q251" s="73"/>
      <c r="R251" s="73"/>
      <c r="S251" s="79"/>
      <c r="T251" s="80"/>
      <c r="U251" s="78">
        <f>IF([1]DADOS!F232="","",[1]DADOS!F232)</f>
      </c>
      <c r="V251" s="81">
        <f>IF(C251="","",[1]DADOS!$D$8)</f>
      </c>
    </row>
    <row r="252" ht="21" customHeight="1" spans="2:22" x14ac:dyDescent="0.25">
      <c r="B252" s="73">
        <v>223</v>
      </c>
      <c r="C252" s="74">
        <f>IF([1]DADOS!D233="","",[1]DADOS!D233)</f>
      </c>
      <c r="D252" s="75"/>
      <c r="E252" s="76"/>
      <c r="F252" s="76"/>
      <c r="G252" s="77"/>
      <c r="H252" s="74"/>
      <c r="I252" s="78">
        <f>IF([1]DADOS!G233="","",[1]DADOS!G233)</f>
      </c>
      <c r="J252" s="73">
        <f>IF([1]DADOS!I233="MONOFÁSICO","X","")</f>
      </c>
      <c r="K252" s="73">
        <f>IF([1]DADOS!I233="BIFÁSICO","X","")</f>
      </c>
      <c r="L252" s="73">
        <f>IF([1]DADOS!I233="TRIFÁSICO","X","")</f>
      </c>
      <c r="M252" s="73">
        <f>IF([1]DADOS!H233="5M","X","")</f>
      </c>
      <c r="N252" s="73">
        <f>IF([1]DADOS!H233="7M","X","")</f>
      </c>
      <c r="O252" s="73">
        <f>IF([1]DADOS!H233="PP","X","")</f>
      </c>
      <c r="P252" s="73"/>
      <c r="Q252" s="73"/>
      <c r="R252" s="73"/>
      <c r="S252" s="79"/>
      <c r="T252" s="80"/>
      <c r="U252" s="78">
        <f>IF([1]DADOS!F233="","",[1]DADOS!F233)</f>
      </c>
      <c r="V252" s="81">
        <f>IF(C252="","",[1]DADOS!$D$8)</f>
      </c>
    </row>
    <row r="253" ht="21" customHeight="1" spans="2:22" x14ac:dyDescent="0.25">
      <c r="B253" s="73">
        <v>224</v>
      </c>
      <c r="C253" s="74">
        <f>IF([1]DADOS!D234="","",[1]DADOS!D234)</f>
      </c>
      <c r="D253" s="75"/>
      <c r="E253" s="76"/>
      <c r="F253" s="76"/>
      <c r="G253" s="77"/>
      <c r="H253" s="74"/>
      <c r="I253" s="78">
        <f>IF([1]DADOS!G234="","",[1]DADOS!G234)</f>
      </c>
      <c r="J253" s="73">
        <f>IF([1]DADOS!I234="MONOFÁSICO","X","")</f>
      </c>
      <c r="K253" s="73">
        <f>IF([1]DADOS!I234="BIFÁSICO","X","")</f>
      </c>
      <c r="L253" s="73">
        <f>IF([1]DADOS!I234="TRIFÁSICO","X","")</f>
      </c>
      <c r="M253" s="73">
        <f>IF([1]DADOS!H234="5M","X","")</f>
      </c>
      <c r="N253" s="73">
        <f>IF([1]DADOS!H234="7M","X","")</f>
      </c>
      <c r="O253" s="73">
        <f>IF([1]DADOS!H234="PP","X","")</f>
      </c>
      <c r="P253" s="73"/>
      <c r="Q253" s="73"/>
      <c r="R253" s="73"/>
      <c r="S253" s="79"/>
      <c r="T253" s="80"/>
      <c r="U253" s="78">
        <f>IF([1]DADOS!F234="","",[1]DADOS!F234)</f>
      </c>
      <c r="V253" s="81">
        <f>IF(C253="","",[1]DADOS!$D$8)</f>
      </c>
    </row>
    <row r="254" ht="21" customHeight="1" spans="2:22" x14ac:dyDescent="0.25">
      <c r="B254" s="73">
        <v>225</v>
      </c>
      <c r="C254" s="74">
        <f>IF([1]DADOS!D235="","",[1]DADOS!D235)</f>
      </c>
      <c r="D254" s="75"/>
      <c r="E254" s="76"/>
      <c r="F254" s="76"/>
      <c r="G254" s="77"/>
      <c r="H254" s="74"/>
      <c r="I254" s="78">
        <f>IF([1]DADOS!G235="","",[1]DADOS!G235)</f>
      </c>
      <c r="J254" s="73">
        <f>IF([1]DADOS!I235="MONOFÁSICO","X","")</f>
      </c>
      <c r="K254" s="73">
        <f>IF([1]DADOS!I235="BIFÁSICO","X","")</f>
      </c>
      <c r="L254" s="73">
        <f>IF([1]DADOS!I235="TRIFÁSICO","X","")</f>
      </c>
      <c r="M254" s="73">
        <f>IF([1]DADOS!H235="5M","X","")</f>
      </c>
      <c r="N254" s="73">
        <f>IF([1]DADOS!H235="7M","X","")</f>
      </c>
      <c r="O254" s="73">
        <f>IF([1]DADOS!H235="PP","X","")</f>
      </c>
      <c r="P254" s="73"/>
      <c r="Q254" s="73"/>
      <c r="R254" s="73"/>
      <c r="S254" s="79"/>
      <c r="T254" s="80"/>
      <c r="U254" s="78">
        <f>IF([1]DADOS!F235="","",[1]DADOS!F235)</f>
      </c>
      <c r="V254" s="81">
        <f>IF(C254="","",[1]DADOS!$D$8)</f>
      </c>
    </row>
    <row r="255" ht="21" customHeight="1" spans="2:22" x14ac:dyDescent="0.25">
      <c r="B255" s="73">
        <v>226</v>
      </c>
      <c r="C255" s="74">
        <f>IF([1]DADOS!D236="","",[1]DADOS!D236)</f>
      </c>
      <c r="D255" s="75"/>
      <c r="E255" s="76"/>
      <c r="F255" s="76"/>
      <c r="G255" s="77"/>
      <c r="H255" s="74"/>
      <c r="I255" s="78">
        <f>IF([1]DADOS!G236="","",[1]DADOS!G236)</f>
      </c>
      <c r="J255" s="73">
        <f>IF([1]DADOS!I236="MONOFÁSICO","X","")</f>
      </c>
      <c r="K255" s="73">
        <f>IF([1]DADOS!I236="BIFÁSICO","X","")</f>
      </c>
      <c r="L255" s="73">
        <f>IF([1]DADOS!I236="TRIFÁSICO","X","")</f>
      </c>
      <c r="M255" s="73">
        <f>IF([1]DADOS!H236="5M","X","")</f>
      </c>
      <c r="N255" s="73">
        <f>IF([1]DADOS!H236="7M","X","")</f>
      </c>
      <c r="O255" s="73">
        <f>IF([1]DADOS!H236="PP","X","")</f>
      </c>
      <c r="P255" s="73"/>
      <c r="Q255" s="73"/>
      <c r="R255" s="73"/>
      <c r="S255" s="79"/>
      <c r="T255" s="80"/>
      <c r="U255" s="78">
        <f>IF([1]DADOS!F236="","",[1]DADOS!F236)</f>
      </c>
      <c r="V255" s="81">
        <f>IF(C255="","",[1]DADOS!$D$8)</f>
      </c>
    </row>
    <row r="256" ht="21" customHeight="1" spans="2:22" x14ac:dyDescent="0.25">
      <c r="B256" s="73">
        <v>227</v>
      </c>
      <c r="C256" s="74">
        <f>IF([1]DADOS!D237="","",[1]DADOS!D237)</f>
      </c>
      <c r="D256" s="75"/>
      <c r="E256" s="76"/>
      <c r="F256" s="76"/>
      <c r="G256" s="77"/>
      <c r="H256" s="74"/>
      <c r="I256" s="78">
        <f>IF([1]DADOS!G237="","",[1]DADOS!G237)</f>
      </c>
      <c r="J256" s="73">
        <f>IF([1]DADOS!I237="MONOFÁSICO","X","")</f>
      </c>
      <c r="K256" s="73">
        <f>IF([1]DADOS!I237="BIFÁSICO","X","")</f>
      </c>
      <c r="L256" s="73">
        <f>IF([1]DADOS!I237="TRIFÁSICO","X","")</f>
      </c>
      <c r="M256" s="73">
        <f>IF([1]DADOS!H237="5M","X","")</f>
      </c>
      <c r="N256" s="73">
        <f>IF([1]DADOS!H237="7M","X","")</f>
      </c>
      <c r="O256" s="73">
        <f>IF([1]DADOS!H237="PP","X","")</f>
      </c>
      <c r="P256" s="73"/>
      <c r="Q256" s="73"/>
      <c r="R256" s="73"/>
      <c r="S256" s="79"/>
      <c r="T256" s="80"/>
      <c r="U256" s="78">
        <f>IF([1]DADOS!F237="","",[1]DADOS!F237)</f>
      </c>
      <c r="V256" s="81">
        <f>IF(C256="","",[1]DADOS!$D$8)</f>
      </c>
    </row>
    <row r="257" ht="21" customHeight="1" spans="2:22" x14ac:dyDescent="0.25">
      <c r="B257" s="73">
        <v>228</v>
      </c>
      <c r="C257" s="74">
        <f>IF([1]DADOS!D238="","",[1]DADOS!D238)</f>
      </c>
      <c r="D257" s="75"/>
      <c r="E257" s="76"/>
      <c r="F257" s="76"/>
      <c r="G257" s="77"/>
      <c r="H257" s="74"/>
      <c r="I257" s="78">
        <f>IF([1]DADOS!G238="","",[1]DADOS!G238)</f>
      </c>
      <c r="J257" s="73">
        <f>IF([1]DADOS!I238="MONOFÁSICO","X","")</f>
      </c>
      <c r="K257" s="73">
        <f>IF([1]DADOS!I238="BIFÁSICO","X","")</f>
      </c>
      <c r="L257" s="73">
        <f>IF([1]DADOS!I238="TRIFÁSICO","X","")</f>
      </c>
      <c r="M257" s="73">
        <f>IF([1]DADOS!H238="5M","X","")</f>
      </c>
      <c r="N257" s="73">
        <f>IF([1]DADOS!H238="7M","X","")</f>
      </c>
      <c r="O257" s="73">
        <f>IF([1]DADOS!H238="PP","X","")</f>
      </c>
      <c r="P257" s="73"/>
      <c r="Q257" s="73"/>
      <c r="R257" s="73"/>
      <c r="S257" s="79"/>
      <c r="T257" s="80"/>
      <c r="U257" s="78">
        <f>IF([1]DADOS!F238="","",[1]DADOS!F238)</f>
      </c>
      <c r="V257" s="81">
        <f>IF(C257="","",[1]DADOS!$D$8)</f>
      </c>
    </row>
    <row r="258" ht="21" customHeight="1" spans="2:22" x14ac:dyDescent="0.25">
      <c r="B258" s="73">
        <v>229</v>
      </c>
      <c r="C258" s="74">
        <f>IF([1]DADOS!D239="","",[1]DADOS!D239)</f>
      </c>
      <c r="D258" s="75"/>
      <c r="E258" s="76"/>
      <c r="F258" s="76"/>
      <c r="G258" s="77"/>
      <c r="H258" s="74"/>
      <c r="I258" s="78">
        <f>IF([1]DADOS!G239="","",[1]DADOS!G239)</f>
      </c>
      <c r="J258" s="73">
        <f>IF([1]DADOS!I239="MONOFÁSICO","X","")</f>
      </c>
      <c r="K258" s="73">
        <f>IF([1]DADOS!I239="BIFÁSICO","X","")</f>
      </c>
      <c r="L258" s="73">
        <f>IF([1]DADOS!I239="TRIFÁSICO","X","")</f>
      </c>
      <c r="M258" s="73">
        <f>IF([1]DADOS!H239="5M","X","")</f>
      </c>
      <c r="N258" s="73">
        <f>IF([1]DADOS!H239="7M","X","")</f>
      </c>
      <c r="O258" s="73">
        <f>IF([1]DADOS!H239="PP","X","")</f>
      </c>
      <c r="P258" s="73"/>
      <c r="Q258" s="73"/>
      <c r="R258" s="73"/>
      <c r="S258" s="79"/>
      <c r="T258" s="80"/>
      <c r="U258" s="78">
        <f>IF([1]DADOS!F239="","",[1]DADOS!F239)</f>
      </c>
      <c r="V258" s="81">
        <f>IF(C258="","",[1]DADOS!$D$8)</f>
      </c>
    </row>
    <row r="259" ht="21" customHeight="1" spans="2:22" x14ac:dyDescent="0.25">
      <c r="B259" s="73">
        <v>230</v>
      </c>
      <c r="C259" s="74">
        <f>IF([1]DADOS!D240="","",[1]DADOS!D240)</f>
      </c>
      <c r="D259" s="75"/>
      <c r="E259" s="76"/>
      <c r="F259" s="76"/>
      <c r="G259" s="77"/>
      <c r="H259" s="74"/>
      <c r="I259" s="78">
        <f>IF([1]DADOS!G240="","",[1]DADOS!G240)</f>
      </c>
      <c r="J259" s="73">
        <f>IF([1]DADOS!I240="MONOFÁSICO","X","")</f>
      </c>
      <c r="K259" s="73">
        <f>IF([1]DADOS!I240="BIFÁSICO","X","")</f>
      </c>
      <c r="L259" s="73">
        <f>IF([1]DADOS!I240="TRIFÁSICO","X","")</f>
      </c>
      <c r="M259" s="73">
        <f>IF([1]DADOS!H240="5M","X","")</f>
      </c>
      <c r="N259" s="73">
        <f>IF([1]DADOS!H240="7M","X","")</f>
      </c>
      <c r="O259" s="73">
        <f>IF([1]DADOS!H240="PP","X","")</f>
      </c>
      <c r="P259" s="73"/>
      <c r="Q259" s="73"/>
      <c r="R259" s="73"/>
      <c r="S259" s="79"/>
      <c r="T259" s="80"/>
      <c r="U259" s="78">
        <f>IF([1]DADOS!F240="","",[1]DADOS!F240)</f>
      </c>
      <c r="V259" s="81">
        <f>IF(C259="","",[1]DADOS!$D$8)</f>
      </c>
    </row>
    <row r="260" ht="21" customHeight="1" spans="2:22" x14ac:dyDescent="0.25">
      <c r="B260" s="73">
        <v>231</v>
      </c>
      <c r="C260" s="74">
        <f>IF([1]DADOS!D241="","",[1]DADOS!D241)</f>
      </c>
      <c r="D260" s="75"/>
      <c r="E260" s="76"/>
      <c r="F260" s="76"/>
      <c r="G260" s="77"/>
      <c r="H260" s="74"/>
      <c r="I260" s="78">
        <f>IF([1]DADOS!G241="","",[1]DADOS!G241)</f>
      </c>
      <c r="J260" s="73">
        <f>IF([1]DADOS!I241="MONOFÁSICO","X","")</f>
      </c>
      <c r="K260" s="73">
        <f>IF([1]DADOS!I241="BIFÁSICO","X","")</f>
      </c>
      <c r="L260" s="73">
        <f>IF([1]DADOS!I241="TRIFÁSICO","X","")</f>
      </c>
      <c r="M260" s="73">
        <f>IF([1]DADOS!H241="5M","X","")</f>
      </c>
      <c r="N260" s="73">
        <f>IF([1]DADOS!H241="7M","X","")</f>
      </c>
      <c r="O260" s="73">
        <f>IF([1]DADOS!H241="PP","X","")</f>
      </c>
      <c r="P260" s="73"/>
      <c r="Q260" s="73"/>
      <c r="R260" s="73"/>
      <c r="S260" s="79"/>
      <c r="T260" s="80"/>
      <c r="U260" s="78">
        <f>IF([1]DADOS!F241="","",[1]DADOS!F241)</f>
      </c>
      <c r="V260" s="81">
        <f>IF(C260="","",[1]DADOS!$D$8)</f>
      </c>
    </row>
    <row r="261" ht="21" customHeight="1" spans="2:22" x14ac:dyDescent="0.25">
      <c r="B261" s="73">
        <v>232</v>
      </c>
      <c r="C261" s="74">
        <f>IF([1]DADOS!D242="","",[1]DADOS!D242)</f>
      </c>
      <c r="D261" s="75"/>
      <c r="E261" s="76"/>
      <c r="F261" s="76"/>
      <c r="G261" s="77"/>
      <c r="H261" s="74"/>
      <c r="I261" s="78">
        <f>IF([1]DADOS!G242="","",[1]DADOS!G242)</f>
      </c>
      <c r="J261" s="73">
        <f>IF([1]DADOS!I242="MONOFÁSICO","X","")</f>
      </c>
      <c r="K261" s="73">
        <f>IF([1]DADOS!I242="BIFÁSICO","X","")</f>
      </c>
      <c r="L261" s="73">
        <f>IF([1]DADOS!I242="TRIFÁSICO","X","")</f>
      </c>
      <c r="M261" s="73">
        <f>IF([1]DADOS!H242="5M","X","")</f>
      </c>
      <c r="N261" s="73">
        <f>IF([1]DADOS!H242="7M","X","")</f>
      </c>
      <c r="O261" s="73">
        <f>IF([1]DADOS!H242="PP","X","")</f>
      </c>
      <c r="P261" s="73"/>
      <c r="Q261" s="73"/>
      <c r="R261" s="73"/>
      <c r="S261" s="79"/>
      <c r="T261" s="80"/>
      <c r="U261" s="78">
        <f>IF([1]DADOS!F242="","",[1]DADOS!F242)</f>
      </c>
      <c r="V261" s="81">
        <f>IF(C261="","",[1]DADOS!$D$8)</f>
      </c>
    </row>
    <row r="262" ht="21" customHeight="1" spans="2:22" x14ac:dyDescent="0.25">
      <c r="B262" s="73">
        <v>233</v>
      </c>
      <c r="C262" s="74">
        <f>IF([1]DADOS!D243="","",[1]DADOS!D243)</f>
      </c>
      <c r="D262" s="75"/>
      <c r="E262" s="76"/>
      <c r="F262" s="76"/>
      <c r="G262" s="77"/>
      <c r="H262" s="74"/>
      <c r="I262" s="78">
        <f>IF([1]DADOS!G243="","",[1]DADOS!G243)</f>
      </c>
      <c r="J262" s="73">
        <f>IF([1]DADOS!I243="MONOFÁSICO","X","")</f>
      </c>
      <c r="K262" s="73">
        <f>IF([1]DADOS!I243="BIFÁSICO","X","")</f>
      </c>
      <c r="L262" s="73">
        <f>IF([1]DADOS!I243="TRIFÁSICO","X","")</f>
      </c>
      <c r="M262" s="73">
        <f>IF([1]DADOS!H243="5M","X","")</f>
      </c>
      <c r="N262" s="73">
        <f>IF([1]DADOS!H243="7M","X","")</f>
      </c>
      <c r="O262" s="73">
        <f>IF([1]DADOS!H243="PP","X","")</f>
      </c>
      <c r="P262" s="73"/>
      <c r="Q262" s="73"/>
      <c r="R262" s="73"/>
      <c r="S262" s="79"/>
      <c r="T262" s="80"/>
      <c r="U262" s="78">
        <f>IF([1]DADOS!F243="","",[1]DADOS!F243)</f>
      </c>
      <c r="V262" s="81">
        <f>IF(C262="","",[1]DADOS!$D$8)</f>
      </c>
    </row>
    <row r="263" ht="21" customHeight="1" spans="2:22" x14ac:dyDescent="0.25">
      <c r="B263" s="73">
        <v>234</v>
      </c>
      <c r="C263" s="74">
        <f>IF([1]DADOS!D244="","",[1]DADOS!D244)</f>
      </c>
      <c r="D263" s="75"/>
      <c r="E263" s="76"/>
      <c r="F263" s="76"/>
      <c r="G263" s="77"/>
      <c r="H263" s="74"/>
      <c r="I263" s="78">
        <f>IF([1]DADOS!G244="","",[1]DADOS!G244)</f>
      </c>
      <c r="J263" s="73">
        <f>IF([1]DADOS!I244="MONOFÁSICO","X","")</f>
      </c>
      <c r="K263" s="73">
        <f>IF([1]DADOS!I244="BIFÁSICO","X","")</f>
      </c>
      <c r="L263" s="73">
        <f>IF([1]DADOS!I244="TRIFÁSICO","X","")</f>
      </c>
      <c r="M263" s="73">
        <f>IF([1]DADOS!H244="5M","X","")</f>
      </c>
      <c r="N263" s="73">
        <f>IF([1]DADOS!H244="7M","X","")</f>
      </c>
      <c r="O263" s="73">
        <f>IF([1]DADOS!H244="PP","X","")</f>
      </c>
      <c r="P263" s="73"/>
      <c r="Q263" s="73"/>
      <c r="R263" s="73"/>
      <c r="S263" s="79"/>
      <c r="T263" s="80"/>
      <c r="U263" s="78">
        <f>IF([1]DADOS!F244="","",[1]DADOS!F244)</f>
      </c>
      <c r="V263" s="81">
        <f>IF(C263="","",[1]DADOS!$D$8)</f>
      </c>
    </row>
    <row r="264" ht="21" customHeight="1" spans="2:22" x14ac:dyDescent="0.25">
      <c r="B264" s="73">
        <v>235</v>
      </c>
      <c r="C264" s="74">
        <f>IF([1]DADOS!D245="","",[1]DADOS!D245)</f>
      </c>
      <c r="D264" s="75"/>
      <c r="E264" s="76"/>
      <c r="F264" s="76"/>
      <c r="G264" s="77"/>
      <c r="H264" s="74"/>
      <c r="I264" s="78">
        <f>IF([1]DADOS!G245="","",[1]DADOS!G245)</f>
      </c>
      <c r="J264" s="73">
        <f>IF([1]DADOS!I245="MONOFÁSICO","X","")</f>
      </c>
      <c r="K264" s="73">
        <f>IF([1]DADOS!I245="BIFÁSICO","X","")</f>
      </c>
      <c r="L264" s="73">
        <f>IF([1]DADOS!I245="TRIFÁSICO","X","")</f>
      </c>
      <c r="M264" s="73">
        <f>IF([1]DADOS!H245="5M","X","")</f>
      </c>
      <c r="N264" s="73">
        <f>IF([1]DADOS!H245="7M","X","")</f>
      </c>
      <c r="O264" s="73">
        <f>IF([1]DADOS!H245="PP","X","")</f>
      </c>
      <c r="P264" s="73"/>
      <c r="Q264" s="73"/>
      <c r="R264" s="73"/>
      <c r="S264" s="79"/>
      <c r="T264" s="80"/>
      <c r="U264" s="78">
        <f>IF([1]DADOS!F245="","",[1]DADOS!F245)</f>
      </c>
      <c r="V264" s="81">
        <f>IF(C264="","",[1]DADOS!$D$8)</f>
      </c>
    </row>
    <row r="265" ht="21" customHeight="1" spans="2:22" x14ac:dyDescent="0.25">
      <c r="B265" s="73">
        <v>236</v>
      </c>
      <c r="C265" s="74">
        <f>IF([1]DADOS!D246="","",[1]DADOS!D246)</f>
      </c>
      <c r="D265" s="75"/>
      <c r="E265" s="76"/>
      <c r="F265" s="76"/>
      <c r="G265" s="77"/>
      <c r="H265" s="74"/>
      <c r="I265" s="78">
        <f>IF([1]DADOS!G246="","",[1]DADOS!G246)</f>
      </c>
      <c r="J265" s="73">
        <f>IF([1]DADOS!I246="MONOFÁSICO","X","")</f>
      </c>
      <c r="K265" s="73">
        <f>IF([1]DADOS!I246="BIFÁSICO","X","")</f>
      </c>
      <c r="L265" s="73">
        <f>IF([1]DADOS!I246="TRIFÁSICO","X","")</f>
      </c>
      <c r="M265" s="73">
        <f>IF([1]DADOS!H246="5M","X","")</f>
      </c>
      <c r="N265" s="73">
        <f>IF([1]DADOS!H246="7M","X","")</f>
      </c>
      <c r="O265" s="73">
        <f>IF([1]DADOS!H246="PP","X","")</f>
      </c>
      <c r="P265" s="73"/>
      <c r="Q265" s="73"/>
      <c r="R265" s="73"/>
      <c r="S265" s="79"/>
      <c r="T265" s="80"/>
      <c r="U265" s="78">
        <f>IF([1]DADOS!F246="","",[1]DADOS!F246)</f>
      </c>
      <c r="V265" s="81">
        <f>IF(C265="","",[1]DADOS!$D$8)</f>
      </c>
    </row>
    <row r="266" ht="21" customHeight="1" spans="2:22" x14ac:dyDescent="0.25">
      <c r="B266" s="73">
        <v>237</v>
      </c>
      <c r="C266" s="74">
        <f>IF([1]DADOS!D247="","",[1]DADOS!D247)</f>
      </c>
      <c r="D266" s="75"/>
      <c r="E266" s="76"/>
      <c r="F266" s="76"/>
      <c r="G266" s="77"/>
      <c r="H266" s="74"/>
      <c r="I266" s="78">
        <f>IF([1]DADOS!G247="","",[1]DADOS!G247)</f>
      </c>
      <c r="J266" s="73">
        <f>IF([1]DADOS!I247="MONOFÁSICO","X","")</f>
      </c>
      <c r="K266" s="73">
        <f>IF([1]DADOS!I247="BIFÁSICO","X","")</f>
      </c>
      <c r="L266" s="73">
        <f>IF([1]DADOS!I247="TRIFÁSICO","X","")</f>
      </c>
      <c r="M266" s="73">
        <f>IF([1]DADOS!H247="5M","X","")</f>
      </c>
      <c r="N266" s="73">
        <f>IF([1]DADOS!H247="7M","X","")</f>
      </c>
      <c r="O266" s="73">
        <f>IF([1]DADOS!H247="PP","X","")</f>
      </c>
      <c r="P266" s="73"/>
      <c r="Q266" s="73"/>
      <c r="R266" s="73"/>
      <c r="S266" s="79"/>
      <c r="T266" s="80"/>
      <c r="U266" s="78">
        <f>IF([1]DADOS!F247="","",[1]DADOS!F247)</f>
      </c>
      <c r="V266" s="81">
        <f>IF(C266="","",[1]DADOS!$D$8)</f>
      </c>
    </row>
    <row r="267" ht="21" customHeight="1" spans="2:22" x14ac:dyDescent="0.25">
      <c r="B267" s="73">
        <v>238</v>
      </c>
      <c r="C267" s="74">
        <f>IF([1]DADOS!D248="","",[1]DADOS!D248)</f>
      </c>
      <c r="D267" s="75"/>
      <c r="E267" s="76"/>
      <c r="F267" s="76"/>
      <c r="G267" s="77"/>
      <c r="H267" s="74"/>
      <c r="I267" s="78">
        <f>IF([1]DADOS!G248="","",[1]DADOS!G248)</f>
      </c>
      <c r="J267" s="73">
        <f>IF([1]DADOS!I248="MONOFÁSICO","X","")</f>
      </c>
      <c r="K267" s="73">
        <f>IF([1]DADOS!I248="BIFÁSICO","X","")</f>
      </c>
      <c r="L267" s="73">
        <f>IF([1]DADOS!I248="TRIFÁSICO","X","")</f>
      </c>
      <c r="M267" s="73">
        <f>IF([1]DADOS!H248="5M","X","")</f>
      </c>
      <c r="N267" s="73">
        <f>IF([1]DADOS!H248="7M","X","")</f>
      </c>
      <c r="O267" s="73">
        <f>IF([1]DADOS!H248="PP","X","")</f>
      </c>
      <c r="P267" s="73"/>
      <c r="Q267" s="73"/>
      <c r="R267" s="73"/>
      <c r="S267" s="79"/>
      <c r="T267" s="80"/>
      <c r="U267" s="78">
        <f>IF([1]DADOS!F248="","",[1]DADOS!F248)</f>
      </c>
      <c r="V267" s="81">
        <f>IF(C267="","",[1]DADOS!$D$8)</f>
      </c>
    </row>
    <row r="268" ht="21" customHeight="1" spans="2:22" x14ac:dyDescent="0.25">
      <c r="B268" s="73">
        <v>239</v>
      </c>
      <c r="C268" s="74">
        <f>IF([1]DADOS!D249="","",[1]DADOS!D249)</f>
      </c>
      <c r="D268" s="75"/>
      <c r="E268" s="76"/>
      <c r="F268" s="76"/>
      <c r="G268" s="77"/>
      <c r="H268" s="74"/>
      <c r="I268" s="78">
        <f>IF([1]DADOS!G249="","",[1]DADOS!G249)</f>
      </c>
      <c r="J268" s="73">
        <f>IF([1]DADOS!I249="MONOFÁSICO","X","")</f>
      </c>
      <c r="K268" s="73">
        <f>IF([1]DADOS!I249="BIFÁSICO","X","")</f>
      </c>
      <c r="L268" s="73">
        <f>IF([1]DADOS!I249="TRIFÁSICO","X","")</f>
      </c>
      <c r="M268" s="73">
        <f>IF([1]DADOS!H249="5M","X","")</f>
      </c>
      <c r="N268" s="73">
        <f>IF([1]DADOS!H249="7M","X","")</f>
      </c>
      <c r="O268" s="73">
        <f>IF([1]DADOS!H249="PP","X","")</f>
      </c>
      <c r="P268" s="73"/>
      <c r="Q268" s="73"/>
      <c r="R268" s="73"/>
      <c r="S268" s="79"/>
      <c r="T268" s="80"/>
      <c r="U268" s="78">
        <f>IF([1]DADOS!F249="","",[1]DADOS!F249)</f>
      </c>
      <c r="V268" s="81">
        <f>IF(C268="","",[1]DADOS!$D$8)</f>
      </c>
    </row>
    <row r="269" ht="21" customHeight="1" spans="2:22" x14ac:dyDescent="0.25">
      <c r="B269" s="73">
        <v>240</v>
      </c>
      <c r="C269" s="74">
        <f>IF([1]DADOS!D250="","",[1]DADOS!D250)</f>
      </c>
      <c r="D269" s="75"/>
      <c r="E269" s="76"/>
      <c r="F269" s="76"/>
      <c r="G269" s="77"/>
      <c r="H269" s="74"/>
      <c r="I269" s="78">
        <f>IF([1]DADOS!G250="","",[1]DADOS!G250)</f>
      </c>
      <c r="J269" s="73">
        <f>IF([1]DADOS!I250="MONOFÁSICO","X","")</f>
      </c>
      <c r="K269" s="73">
        <f>IF([1]DADOS!I250="BIFÁSICO","X","")</f>
      </c>
      <c r="L269" s="73">
        <f>IF([1]DADOS!I250="TRIFÁSICO","X","")</f>
      </c>
      <c r="M269" s="73">
        <f>IF([1]DADOS!H250="5M","X","")</f>
      </c>
      <c r="N269" s="73">
        <f>IF([1]DADOS!H250="7M","X","")</f>
      </c>
      <c r="O269" s="73">
        <f>IF([1]DADOS!H250="PP","X","")</f>
      </c>
      <c r="P269" s="73"/>
      <c r="Q269" s="73"/>
      <c r="R269" s="73"/>
      <c r="S269" s="79"/>
      <c r="T269" s="80"/>
      <c r="U269" s="78">
        <f>IF([1]DADOS!F250="","",[1]DADOS!F250)</f>
      </c>
      <c r="V269" s="81">
        <f>IF(C269="","",[1]DADOS!$D$8)</f>
      </c>
    </row>
    <row r="270" ht="21" customHeight="1" spans="2:22" x14ac:dyDescent="0.25">
      <c r="B270" s="73">
        <v>241</v>
      </c>
      <c r="C270" s="74">
        <f>IF([1]DADOS!D251="","",[1]DADOS!D251)</f>
      </c>
      <c r="D270" s="75"/>
      <c r="E270" s="76"/>
      <c r="F270" s="76"/>
      <c r="G270" s="77"/>
      <c r="H270" s="74"/>
      <c r="I270" s="78">
        <f>IF([1]DADOS!G251="","",[1]DADOS!G251)</f>
      </c>
      <c r="J270" s="73">
        <f>IF([1]DADOS!I251="MONOFÁSICO","X","")</f>
      </c>
      <c r="K270" s="73">
        <f>IF([1]DADOS!I251="BIFÁSICO","X","")</f>
      </c>
      <c r="L270" s="73">
        <f>IF([1]DADOS!I251="TRIFÁSICO","X","")</f>
      </c>
      <c r="M270" s="73">
        <f>IF([1]DADOS!H251="5M","X","")</f>
      </c>
      <c r="N270" s="73">
        <f>IF([1]DADOS!H251="7M","X","")</f>
      </c>
      <c r="O270" s="73">
        <f>IF([1]DADOS!H251="PP","X","")</f>
      </c>
      <c r="P270" s="73"/>
      <c r="Q270" s="73"/>
      <c r="R270" s="73"/>
      <c r="S270" s="79"/>
      <c r="T270" s="80"/>
      <c r="U270" s="78">
        <f>IF([1]DADOS!F251="","",[1]DADOS!F251)</f>
      </c>
      <c r="V270" s="81">
        <f>IF(C270="","",[1]DADOS!$D$8)</f>
      </c>
    </row>
    <row r="271" ht="21" customHeight="1" spans="2:22" x14ac:dyDescent="0.25">
      <c r="B271" s="73">
        <v>242</v>
      </c>
      <c r="C271" s="74">
        <f>IF([1]DADOS!D252="","",[1]DADOS!D252)</f>
      </c>
      <c r="D271" s="75"/>
      <c r="E271" s="76"/>
      <c r="F271" s="76"/>
      <c r="G271" s="77"/>
      <c r="H271" s="74"/>
      <c r="I271" s="78">
        <f>IF([1]DADOS!G252="","",[1]DADOS!G252)</f>
      </c>
      <c r="J271" s="73">
        <f>IF([1]DADOS!I252="MONOFÁSICO","X","")</f>
      </c>
      <c r="K271" s="73">
        <f>IF([1]DADOS!I252="BIFÁSICO","X","")</f>
      </c>
      <c r="L271" s="73">
        <f>IF([1]DADOS!I252="TRIFÁSICO","X","")</f>
      </c>
      <c r="M271" s="73">
        <f>IF([1]DADOS!H252="5M","X","")</f>
      </c>
      <c r="N271" s="73">
        <f>IF([1]DADOS!H252="7M","X","")</f>
      </c>
      <c r="O271" s="73">
        <f>IF([1]DADOS!H252="PP","X","")</f>
      </c>
      <c r="P271" s="73"/>
      <c r="Q271" s="73"/>
      <c r="R271" s="73"/>
      <c r="S271" s="79"/>
      <c r="T271" s="80"/>
      <c r="U271" s="78">
        <f>IF([1]DADOS!F252="","",[1]DADOS!F252)</f>
      </c>
      <c r="V271" s="81">
        <f>IF(C271="","",[1]DADOS!$D$8)</f>
      </c>
    </row>
    <row r="272" ht="21" customHeight="1" spans="2:22" x14ac:dyDescent="0.25">
      <c r="B272" s="73">
        <v>243</v>
      </c>
      <c r="C272" s="74">
        <f>IF([1]DADOS!D253="","",[1]DADOS!D253)</f>
      </c>
      <c r="D272" s="75"/>
      <c r="E272" s="76"/>
      <c r="F272" s="76"/>
      <c r="G272" s="77"/>
      <c r="H272" s="74"/>
      <c r="I272" s="78">
        <f>IF([1]DADOS!G253="","",[1]DADOS!G253)</f>
      </c>
      <c r="J272" s="73">
        <f>IF([1]DADOS!I253="MONOFÁSICO","X","")</f>
      </c>
      <c r="K272" s="73">
        <f>IF([1]DADOS!I253="BIFÁSICO","X","")</f>
      </c>
      <c r="L272" s="73">
        <f>IF([1]DADOS!I253="TRIFÁSICO","X","")</f>
      </c>
      <c r="M272" s="73">
        <f>IF([1]DADOS!H253="5M","X","")</f>
      </c>
      <c r="N272" s="73">
        <f>IF([1]DADOS!H253="7M","X","")</f>
      </c>
      <c r="O272" s="73">
        <f>IF([1]DADOS!H253="PP","X","")</f>
      </c>
      <c r="P272" s="73"/>
      <c r="Q272" s="73"/>
      <c r="R272" s="73"/>
      <c r="S272" s="79"/>
      <c r="T272" s="80"/>
      <c r="U272" s="78">
        <f>IF([1]DADOS!F253="","",[1]DADOS!F253)</f>
      </c>
      <c r="V272" s="81">
        <f>IF(C272="","",[1]DADOS!$D$8)</f>
      </c>
    </row>
    <row r="273" ht="21" customHeight="1" spans="2:22" x14ac:dyDescent="0.25">
      <c r="B273" s="73">
        <v>244</v>
      </c>
      <c r="C273" s="74">
        <f>IF([1]DADOS!D254="","",[1]DADOS!D254)</f>
      </c>
      <c r="D273" s="75"/>
      <c r="E273" s="76"/>
      <c r="F273" s="76"/>
      <c r="G273" s="77"/>
      <c r="H273" s="74"/>
      <c r="I273" s="78">
        <f>IF([1]DADOS!G254="","",[1]DADOS!G254)</f>
      </c>
      <c r="J273" s="73">
        <f>IF([1]DADOS!I254="MONOFÁSICO","X","")</f>
      </c>
      <c r="K273" s="73">
        <f>IF([1]DADOS!I254="BIFÁSICO","X","")</f>
      </c>
      <c r="L273" s="73">
        <f>IF([1]DADOS!I254="TRIFÁSICO","X","")</f>
      </c>
      <c r="M273" s="73">
        <f>IF([1]DADOS!H254="5M","X","")</f>
      </c>
      <c r="N273" s="73">
        <f>IF([1]DADOS!H254="7M","X","")</f>
      </c>
      <c r="O273" s="73">
        <f>IF([1]DADOS!H254="PP","X","")</f>
      </c>
      <c r="P273" s="73"/>
      <c r="Q273" s="73"/>
      <c r="R273" s="73"/>
      <c r="S273" s="79"/>
      <c r="T273" s="80"/>
      <c r="U273" s="78">
        <f>IF([1]DADOS!F254="","",[1]DADOS!F254)</f>
      </c>
      <c r="V273" s="81">
        <f>IF(C273="","",[1]DADOS!$D$8)</f>
      </c>
    </row>
    <row r="274" ht="21" customHeight="1" spans="2:22" x14ac:dyDescent="0.25">
      <c r="B274" s="73">
        <v>245</v>
      </c>
      <c r="C274" s="74">
        <f>IF([1]DADOS!D255="","",[1]DADOS!D255)</f>
      </c>
      <c r="D274" s="75"/>
      <c r="E274" s="76"/>
      <c r="F274" s="76"/>
      <c r="G274" s="77"/>
      <c r="H274" s="74"/>
      <c r="I274" s="78">
        <f>IF([1]DADOS!G255="","",[1]DADOS!G255)</f>
      </c>
      <c r="J274" s="73">
        <f>IF([1]DADOS!I255="MONOFÁSICO","X","")</f>
      </c>
      <c r="K274" s="73">
        <f>IF([1]DADOS!I255="BIFÁSICO","X","")</f>
      </c>
      <c r="L274" s="73">
        <f>IF([1]DADOS!I255="TRIFÁSICO","X","")</f>
      </c>
      <c r="M274" s="73">
        <f>IF([1]DADOS!H255="5M","X","")</f>
      </c>
      <c r="N274" s="73">
        <f>IF([1]DADOS!H255="7M","X","")</f>
      </c>
      <c r="O274" s="73">
        <f>IF([1]DADOS!H255="PP","X","")</f>
      </c>
      <c r="P274" s="73"/>
      <c r="Q274" s="73"/>
      <c r="R274" s="73"/>
      <c r="S274" s="79"/>
      <c r="T274" s="80"/>
      <c r="U274" s="78">
        <f>IF([1]DADOS!F255="","",[1]DADOS!F255)</f>
      </c>
      <c r="V274" s="81">
        <f>IF(C274="","",[1]DADOS!$D$8)</f>
      </c>
    </row>
    <row r="275" ht="21" customHeight="1" spans="2:22" x14ac:dyDescent="0.25">
      <c r="B275" s="73">
        <v>246</v>
      </c>
      <c r="C275" s="74">
        <f>IF([1]DADOS!D256="","",[1]DADOS!D256)</f>
      </c>
      <c r="D275" s="75"/>
      <c r="E275" s="76"/>
      <c r="F275" s="76"/>
      <c r="G275" s="77"/>
      <c r="H275" s="74"/>
      <c r="I275" s="78">
        <f>IF([1]DADOS!G256="","",[1]DADOS!G256)</f>
      </c>
      <c r="J275" s="73">
        <f>IF([1]DADOS!I256="MONOFÁSICO","X","")</f>
      </c>
      <c r="K275" s="73">
        <f>IF([1]DADOS!I256="BIFÁSICO","X","")</f>
      </c>
      <c r="L275" s="73">
        <f>IF([1]DADOS!I256="TRIFÁSICO","X","")</f>
      </c>
      <c r="M275" s="73">
        <f>IF([1]DADOS!H256="5M","X","")</f>
      </c>
      <c r="N275" s="73">
        <f>IF([1]DADOS!H256="7M","X","")</f>
      </c>
      <c r="O275" s="73">
        <f>IF([1]DADOS!H256="PP","X","")</f>
      </c>
      <c r="P275" s="73"/>
      <c r="Q275" s="73"/>
      <c r="R275" s="73"/>
      <c r="S275" s="79"/>
      <c r="T275" s="80"/>
      <c r="U275" s="78">
        <f>IF([1]DADOS!F256="","",[1]DADOS!F256)</f>
      </c>
      <c r="V275" s="81">
        <f>IF(C275="","",[1]DADOS!$D$8)</f>
      </c>
    </row>
    <row r="276" ht="21" customHeight="1" spans="2:22" x14ac:dyDescent="0.25">
      <c r="B276" s="73">
        <v>247</v>
      </c>
      <c r="C276" s="74">
        <f>IF([1]DADOS!D257="","",[1]DADOS!D257)</f>
      </c>
      <c r="D276" s="75"/>
      <c r="E276" s="76"/>
      <c r="F276" s="76"/>
      <c r="G276" s="77"/>
      <c r="H276" s="74"/>
      <c r="I276" s="78">
        <f>IF([1]DADOS!G257="","",[1]DADOS!G257)</f>
      </c>
      <c r="J276" s="73">
        <f>IF([1]DADOS!I257="MONOFÁSICO","X","")</f>
      </c>
      <c r="K276" s="73">
        <f>IF([1]DADOS!I257="BIFÁSICO","X","")</f>
      </c>
      <c r="L276" s="73">
        <f>IF([1]DADOS!I257="TRIFÁSICO","X","")</f>
      </c>
      <c r="M276" s="73">
        <f>IF([1]DADOS!H257="5M","X","")</f>
      </c>
      <c r="N276" s="73">
        <f>IF([1]DADOS!H257="7M","X","")</f>
      </c>
      <c r="O276" s="73">
        <f>IF([1]DADOS!H257="PP","X","")</f>
      </c>
      <c r="P276" s="73"/>
      <c r="Q276" s="73"/>
      <c r="R276" s="73"/>
      <c r="S276" s="79"/>
      <c r="T276" s="80"/>
      <c r="U276" s="78">
        <f>IF([1]DADOS!F257="","",[1]DADOS!F257)</f>
      </c>
      <c r="V276" s="81">
        <f>IF(C276="","",[1]DADOS!$D$8)</f>
      </c>
    </row>
    <row r="277" ht="21" customHeight="1" spans="2:22" x14ac:dyDescent="0.25">
      <c r="B277" s="73">
        <v>248</v>
      </c>
      <c r="C277" s="74">
        <f>IF([1]DADOS!D258="","",[1]DADOS!D258)</f>
      </c>
      <c r="D277" s="75"/>
      <c r="E277" s="76"/>
      <c r="F277" s="76"/>
      <c r="G277" s="77"/>
      <c r="H277" s="74"/>
      <c r="I277" s="78">
        <f>IF([1]DADOS!G258="","",[1]DADOS!G258)</f>
      </c>
      <c r="J277" s="73">
        <f>IF([1]DADOS!I258="MONOFÁSICO","X","")</f>
      </c>
      <c r="K277" s="73">
        <f>IF([1]DADOS!I258="BIFÁSICO","X","")</f>
      </c>
      <c r="L277" s="73">
        <f>IF([1]DADOS!I258="TRIFÁSICO","X","")</f>
      </c>
      <c r="M277" s="73">
        <f>IF([1]DADOS!H258="5M","X","")</f>
      </c>
      <c r="N277" s="73">
        <f>IF([1]DADOS!H258="7M","X","")</f>
      </c>
      <c r="O277" s="73">
        <f>IF([1]DADOS!H258="PP","X","")</f>
      </c>
      <c r="P277" s="73"/>
      <c r="Q277" s="73"/>
      <c r="R277" s="73"/>
      <c r="S277" s="79"/>
      <c r="T277" s="80"/>
      <c r="U277" s="78">
        <f>IF([1]DADOS!F258="","",[1]DADOS!F258)</f>
      </c>
      <c r="V277" s="81">
        <f>IF(C277="","",[1]DADOS!$D$8)</f>
      </c>
    </row>
    <row r="278" ht="21" customHeight="1" spans="2:22" x14ac:dyDescent="0.25">
      <c r="B278" s="73">
        <v>249</v>
      </c>
      <c r="C278" s="74">
        <f>IF([1]DADOS!D259="","",[1]DADOS!D259)</f>
      </c>
      <c r="D278" s="75"/>
      <c r="E278" s="76"/>
      <c r="F278" s="76"/>
      <c r="G278" s="77"/>
      <c r="H278" s="74"/>
      <c r="I278" s="78">
        <f>IF([1]DADOS!G259="","",[1]DADOS!G259)</f>
      </c>
      <c r="J278" s="73">
        <f>IF([1]DADOS!I259="MONOFÁSICO","X","")</f>
      </c>
      <c r="K278" s="73">
        <f>IF([1]DADOS!I259="BIFÁSICO","X","")</f>
      </c>
      <c r="L278" s="73">
        <f>IF([1]DADOS!I259="TRIFÁSICO","X","")</f>
      </c>
      <c r="M278" s="73">
        <f>IF([1]DADOS!H259="5M","X","")</f>
      </c>
      <c r="N278" s="73">
        <f>IF([1]DADOS!H259="7M","X","")</f>
      </c>
      <c r="O278" s="73">
        <f>IF([1]DADOS!H259="PP","X","")</f>
      </c>
      <c r="P278" s="73"/>
      <c r="Q278" s="73"/>
      <c r="R278" s="73"/>
      <c r="S278" s="79"/>
      <c r="T278" s="80"/>
      <c r="U278" s="78">
        <f>IF([1]DADOS!F259="","",[1]DADOS!F259)</f>
      </c>
      <c r="V278" s="81">
        <f>IF(C278="","",[1]DADOS!$D$8)</f>
      </c>
    </row>
    <row r="279" ht="21" customHeight="1" spans="2:22" x14ac:dyDescent="0.25">
      <c r="B279" s="73">
        <v>250</v>
      </c>
      <c r="C279" s="74">
        <f>IF([1]DADOS!D260="","",[1]DADOS!D260)</f>
      </c>
      <c r="D279" s="75"/>
      <c r="E279" s="76"/>
      <c r="F279" s="76"/>
      <c r="G279" s="77"/>
      <c r="H279" s="74"/>
      <c r="I279" s="78">
        <f>IF([1]DADOS!G260="","",[1]DADOS!G260)</f>
      </c>
      <c r="J279" s="73">
        <f>IF([1]DADOS!I260="MONOFÁSICO","X","")</f>
      </c>
      <c r="K279" s="73">
        <f>IF([1]DADOS!I260="BIFÁSICO","X","")</f>
      </c>
      <c r="L279" s="73">
        <f>IF([1]DADOS!I260="TRIFÁSICO","X","")</f>
      </c>
      <c r="M279" s="73">
        <f>IF([1]DADOS!H260="5M","X","")</f>
      </c>
      <c r="N279" s="73">
        <f>IF([1]DADOS!H260="7M","X","")</f>
      </c>
      <c r="O279" s="73">
        <f>IF([1]DADOS!H260="PP","X","")</f>
      </c>
      <c r="P279" s="73"/>
      <c r="Q279" s="73"/>
      <c r="R279" s="73"/>
      <c r="S279" s="79"/>
      <c r="T279" s="80"/>
      <c r="U279" s="78">
        <f>IF([1]DADOS!F260="","",[1]DADOS!F260)</f>
      </c>
      <c r="V279" s="81">
        <f>IF(C279="","",[1]DADOS!$D$8)</f>
      </c>
    </row>
    <row r="280" ht="21" customHeight="1" spans="2:22" x14ac:dyDescent="0.25">
      <c r="B280" s="73">
        <v>251</v>
      </c>
      <c r="C280" s="74">
        <f>IF([1]DADOS!D261="","",[1]DADOS!D261)</f>
      </c>
      <c r="D280" s="75"/>
      <c r="E280" s="76"/>
      <c r="F280" s="76"/>
      <c r="G280" s="77"/>
      <c r="H280" s="74"/>
      <c r="I280" s="78">
        <f>IF([1]DADOS!G261="","",[1]DADOS!G261)</f>
      </c>
      <c r="J280" s="73">
        <f>IF([1]DADOS!I261="MONOFÁSICO","X","")</f>
      </c>
      <c r="K280" s="73">
        <f>IF([1]DADOS!I261="BIFÁSICO","X","")</f>
      </c>
      <c r="L280" s="73">
        <f>IF([1]DADOS!I261="TRIFÁSICO","X","")</f>
      </c>
      <c r="M280" s="73">
        <f>IF([1]DADOS!H261="5M","X","")</f>
      </c>
      <c r="N280" s="73">
        <f>IF([1]DADOS!H261="7M","X","")</f>
      </c>
      <c r="O280" s="73">
        <f>IF([1]DADOS!H261="PP","X","")</f>
      </c>
      <c r="P280" s="73"/>
      <c r="Q280" s="73"/>
      <c r="R280" s="73"/>
      <c r="S280" s="79"/>
      <c r="T280" s="80"/>
      <c r="U280" s="78">
        <f>IF([1]DADOS!F261="","",[1]DADOS!F261)</f>
      </c>
      <c r="V280" s="81">
        <f>IF(C280="","",[1]DADOS!$D$8)</f>
      </c>
    </row>
    <row r="281" ht="21" customHeight="1" spans="2:22" x14ac:dyDescent="0.25">
      <c r="B281" s="73">
        <v>252</v>
      </c>
      <c r="C281" s="74">
        <f>IF([1]DADOS!D262="","",[1]DADOS!D262)</f>
      </c>
      <c r="D281" s="75"/>
      <c r="E281" s="76"/>
      <c r="F281" s="76"/>
      <c r="G281" s="77"/>
      <c r="H281" s="74"/>
      <c r="I281" s="78">
        <f>IF([1]DADOS!G262="","",[1]DADOS!G262)</f>
      </c>
      <c r="J281" s="73">
        <f>IF([1]DADOS!I262="MONOFÁSICO","X","")</f>
      </c>
      <c r="K281" s="73">
        <f>IF([1]DADOS!I262="BIFÁSICO","X","")</f>
      </c>
      <c r="L281" s="73">
        <f>IF([1]DADOS!I262="TRIFÁSICO","X","")</f>
      </c>
      <c r="M281" s="73">
        <f>IF([1]DADOS!H262="5M","X","")</f>
      </c>
      <c r="N281" s="73">
        <f>IF([1]DADOS!H262="7M","X","")</f>
      </c>
      <c r="O281" s="73">
        <f>IF([1]DADOS!H262="PP","X","")</f>
      </c>
      <c r="P281" s="73"/>
      <c r="Q281" s="73"/>
      <c r="R281" s="73"/>
      <c r="S281" s="79"/>
      <c r="T281" s="80"/>
      <c r="U281" s="78">
        <f>IF([1]DADOS!F262="","",[1]DADOS!F262)</f>
      </c>
      <c r="V281" s="81">
        <f>IF(C281="","",[1]DADOS!$D$8)</f>
      </c>
    </row>
    <row r="282" ht="21" customHeight="1" spans="2:22" x14ac:dyDescent="0.25">
      <c r="B282" s="73">
        <v>253</v>
      </c>
      <c r="C282" s="74">
        <f>IF([1]DADOS!D263="","",[1]DADOS!D263)</f>
      </c>
      <c r="D282" s="75"/>
      <c r="E282" s="76"/>
      <c r="F282" s="76"/>
      <c r="G282" s="77"/>
      <c r="H282" s="74"/>
      <c r="I282" s="78">
        <f>IF([1]DADOS!G263="","",[1]DADOS!G263)</f>
      </c>
      <c r="J282" s="73">
        <f>IF([1]DADOS!I263="MONOFÁSICO","X","")</f>
      </c>
      <c r="K282" s="73">
        <f>IF([1]DADOS!I263="BIFÁSICO","X","")</f>
      </c>
      <c r="L282" s="73">
        <f>IF([1]DADOS!I263="TRIFÁSICO","X","")</f>
      </c>
      <c r="M282" s="73">
        <f>IF([1]DADOS!H263="5M","X","")</f>
      </c>
      <c r="N282" s="73">
        <f>IF([1]DADOS!H263="7M","X","")</f>
      </c>
      <c r="O282" s="73">
        <f>IF([1]DADOS!H263="PP","X","")</f>
      </c>
      <c r="P282" s="73"/>
      <c r="Q282" s="73"/>
      <c r="R282" s="73"/>
      <c r="S282" s="79"/>
      <c r="T282" s="80"/>
      <c r="U282" s="78">
        <f>IF([1]DADOS!F263="","",[1]DADOS!F263)</f>
      </c>
      <c r="V282" s="81">
        <f>IF(C282="","",[1]DADOS!$D$8)</f>
      </c>
    </row>
    <row r="283" ht="21" customHeight="1" spans="2:22" x14ac:dyDescent="0.25">
      <c r="B283" s="73">
        <v>254</v>
      </c>
      <c r="C283" s="74">
        <f>IF([1]DADOS!D264="","",[1]DADOS!D264)</f>
      </c>
      <c r="D283" s="75"/>
      <c r="E283" s="76"/>
      <c r="F283" s="76"/>
      <c r="G283" s="77"/>
      <c r="H283" s="74"/>
      <c r="I283" s="78">
        <f>IF([1]DADOS!G264="","",[1]DADOS!G264)</f>
      </c>
      <c r="J283" s="73">
        <f>IF([1]DADOS!I264="MONOFÁSICO","X","")</f>
      </c>
      <c r="K283" s="73">
        <f>IF([1]DADOS!I264="BIFÁSICO","X","")</f>
      </c>
      <c r="L283" s="73">
        <f>IF([1]DADOS!I264="TRIFÁSICO","X","")</f>
      </c>
      <c r="M283" s="73">
        <f>IF([1]DADOS!H264="5M","X","")</f>
      </c>
      <c r="N283" s="73">
        <f>IF([1]DADOS!H264="7M","X","")</f>
      </c>
      <c r="O283" s="73">
        <f>IF([1]DADOS!H264="PP","X","")</f>
      </c>
      <c r="P283" s="73"/>
      <c r="Q283" s="73"/>
      <c r="R283" s="73"/>
      <c r="S283" s="79"/>
      <c r="T283" s="80"/>
      <c r="U283" s="78">
        <f>IF([1]DADOS!F264="","",[1]DADOS!F264)</f>
      </c>
      <c r="V283" s="81">
        <f>IF(C283="","",[1]DADOS!$D$8)</f>
      </c>
    </row>
    <row r="284" ht="21" customHeight="1" spans="2:22" x14ac:dyDescent="0.25">
      <c r="B284" s="73">
        <v>255</v>
      </c>
      <c r="C284" s="74">
        <f>IF([1]DADOS!D265="","",[1]DADOS!D265)</f>
      </c>
      <c r="D284" s="75"/>
      <c r="E284" s="76"/>
      <c r="F284" s="76"/>
      <c r="G284" s="77"/>
      <c r="H284" s="74"/>
      <c r="I284" s="78">
        <f>IF([1]DADOS!G265="","",[1]DADOS!G265)</f>
      </c>
      <c r="J284" s="73">
        <f>IF([1]DADOS!I265="MONOFÁSICO","X","")</f>
      </c>
      <c r="K284" s="73">
        <f>IF([1]DADOS!I265="BIFÁSICO","X","")</f>
      </c>
      <c r="L284" s="73">
        <f>IF([1]DADOS!I265="TRIFÁSICO","X","")</f>
      </c>
      <c r="M284" s="73">
        <f>IF([1]DADOS!H265="5M","X","")</f>
      </c>
      <c r="N284" s="73">
        <f>IF([1]DADOS!H265="7M","X","")</f>
      </c>
      <c r="O284" s="73">
        <f>IF([1]DADOS!H265="PP","X","")</f>
      </c>
      <c r="P284" s="73"/>
      <c r="Q284" s="73"/>
      <c r="R284" s="73"/>
      <c r="S284" s="79"/>
      <c r="T284" s="80"/>
      <c r="U284" s="78">
        <f>IF([1]DADOS!F265="","",[1]DADOS!F265)</f>
      </c>
      <c r="V284" s="81">
        <f>IF(C284="","",[1]DADOS!$D$8)</f>
      </c>
    </row>
    <row r="285" ht="21" customHeight="1" spans="2:22" x14ac:dyDescent="0.25">
      <c r="B285" s="73">
        <v>256</v>
      </c>
      <c r="C285" s="74">
        <f>IF([1]DADOS!D266="","",[1]DADOS!D266)</f>
      </c>
      <c r="D285" s="75"/>
      <c r="E285" s="76"/>
      <c r="F285" s="76"/>
      <c r="G285" s="77"/>
      <c r="H285" s="74"/>
      <c r="I285" s="78">
        <f>IF([1]DADOS!G266="","",[1]DADOS!G266)</f>
      </c>
      <c r="J285" s="73">
        <f>IF([1]DADOS!I266="MONOFÁSICO","X","")</f>
      </c>
      <c r="K285" s="73">
        <f>IF([1]DADOS!I266="BIFÁSICO","X","")</f>
      </c>
      <c r="L285" s="73">
        <f>IF([1]DADOS!I266="TRIFÁSICO","X","")</f>
      </c>
      <c r="M285" s="73">
        <f>IF([1]DADOS!H266="5M","X","")</f>
      </c>
      <c r="N285" s="73">
        <f>IF([1]DADOS!H266="7M","X","")</f>
      </c>
      <c r="O285" s="73">
        <f>IF([1]DADOS!H266="PP","X","")</f>
      </c>
      <c r="P285" s="73"/>
      <c r="Q285" s="73"/>
      <c r="R285" s="73"/>
      <c r="S285" s="79"/>
      <c r="T285" s="80"/>
      <c r="U285" s="78">
        <f>IF([1]DADOS!F266="","",[1]DADOS!F266)</f>
      </c>
      <c r="V285" s="81">
        <f>IF(C285="","",[1]DADOS!$D$8)</f>
      </c>
    </row>
    <row r="286" ht="21" customHeight="1" spans="2:22" x14ac:dyDescent="0.25">
      <c r="B286" s="73">
        <v>257</v>
      </c>
      <c r="C286" s="74">
        <f>IF([1]DADOS!D267="","",[1]DADOS!D267)</f>
      </c>
      <c r="D286" s="75"/>
      <c r="E286" s="76"/>
      <c r="F286" s="76"/>
      <c r="G286" s="77"/>
      <c r="H286" s="74"/>
      <c r="I286" s="78">
        <f>IF([1]DADOS!G267="","",[1]DADOS!G267)</f>
      </c>
      <c r="J286" s="73">
        <f>IF([1]DADOS!I267="MONOFÁSICO","X","")</f>
      </c>
      <c r="K286" s="73">
        <f>IF([1]DADOS!I267="BIFÁSICO","X","")</f>
      </c>
      <c r="L286" s="73">
        <f>IF([1]DADOS!I267="TRIFÁSICO","X","")</f>
      </c>
      <c r="M286" s="73">
        <f>IF([1]DADOS!H267="5M","X","")</f>
      </c>
      <c r="N286" s="73">
        <f>IF([1]DADOS!H267="7M","X","")</f>
      </c>
      <c r="O286" s="73">
        <f>IF([1]DADOS!H267="PP","X","")</f>
      </c>
      <c r="P286" s="73"/>
      <c r="Q286" s="73"/>
      <c r="R286" s="73"/>
      <c r="S286" s="79"/>
      <c r="T286" s="80"/>
      <c r="U286" s="78">
        <f>IF([1]DADOS!F267="","",[1]DADOS!F267)</f>
      </c>
      <c r="V286" s="81">
        <f>IF(C286="","",[1]DADOS!$D$8)</f>
      </c>
    </row>
    <row r="287" ht="21" customHeight="1" spans="2:22" x14ac:dyDescent="0.25">
      <c r="B287" s="73">
        <v>258</v>
      </c>
      <c r="C287" s="74">
        <f>IF([1]DADOS!D268="","",[1]DADOS!D268)</f>
      </c>
      <c r="D287" s="75"/>
      <c r="E287" s="76"/>
      <c r="F287" s="76"/>
      <c r="G287" s="77"/>
      <c r="H287" s="74"/>
      <c r="I287" s="78">
        <f>IF([1]DADOS!G268="","",[1]DADOS!G268)</f>
      </c>
      <c r="J287" s="73">
        <f>IF([1]DADOS!I268="MONOFÁSICO","X","")</f>
      </c>
      <c r="K287" s="73">
        <f>IF([1]DADOS!I268="BIFÁSICO","X","")</f>
      </c>
      <c r="L287" s="73">
        <f>IF([1]DADOS!I268="TRIFÁSICO","X","")</f>
      </c>
      <c r="M287" s="73">
        <f>IF([1]DADOS!H268="5M","X","")</f>
      </c>
      <c r="N287" s="73">
        <f>IF([1]DADOS!H268="7M","X","")</f>
      </c>
      <c r="O287" s="73">
        <f>IF([1]DADOS!H268="PP","X","")</f>
      </c>
      <c r="P287" s="73"/>
      <c r="Q287" s="73"/>
      <c r="R287" s="73"/>
      <c r="S287" s="79"/>
      <c r="T287" s="80"/>
      <c r="U287" s="78">
        <f>IF([1]DADOS!F268="","",[1]DADOS!F268)</f>
      </c>
      <c r="V287" s="81">
        <f>IF(C287="","",[1]DADOS!$D$8)</f>
      </c>
    </row>
    <row r="288" ht="21" customHeight="1" spans="2:22" x14ac:dyDescent="0.25">
      <c r="B288" s="73">
        <v>259</v>
      </c>
      <c r="C288" s="74">
        <f>IF([1]DADOS!D269="","",[1]DADOS!D269)</f>
      </c>
      <c r="D288" s="75"/>
      <c r="E288" s="76"/>
      <c r="F288" s="76"/>
      <c r="G288" s="77"/>
      <c r="H288" s="74"/>
      <c r="I288" s="78">
        <f>IF([1]DADOS!G269="","",[1]DADOS!G269)</f>
      </c>
      <c r="J288" s="73">
        <f>IF([1]DADOS!I269="MONOFÁSICO","X","")</f>
      </c>
      <c r="K288" s="73">
        <f>IF([1]DADOS!I269="BIFÁSICO","X","")</f>
      </c>
      <c r="L288" s="73">
        <f>IF([1]DADOS!I269="TRIFÁSICO","X","")</f>
      </c>
      <c r="M288" s="73">
        <f>IF([1]DADOS!H269="5M","X","")</f>
      </c>
      <c r="N288" s="73">
        <f>IF([1]DADOS!H269="7M","X","")</f>
      </c>
      <c r="O288" s="73">
        <f>IF([1]DADOS!H269="PP","X","")</f>
      </c>
      <c r="P288" s="73"/>
      <c r="Q288" s="73"/>
      <c r="R288" s="73"/>
      <c r="S288" s="79"/>
      <c r="T288" s="80"/>
      <c r="U288" s="78">
        <f>IF([1]DADOS!F269="","",[1]DADOS!F269)</f>
      </c>
      <c r="V288" s="81">
        <f>IF(C288="","",[1]DADOS!$D$8)</f>
      </c>
    </row>
    <row r="289" ht="21" customHeight="1" spans="2:22" x14ac:dyDescent="0.25">
      <c r="B289" s="73">
        <v>260</v>
      </c>
      <c r="C289" s="74">
        <f>IF([1]DADOS!D270="","",[1]DADOS!D270)</f>
      </c>
      <c r="D289" s="75"/>
      <c r="E289" s="76"/>
      <c r="F289" s="76"/>
      <c r="G289" s="77"/>
      <c r="H289" s="74"/>
      <c r="I289" s="78">
        <f>IF([1]DADOS!G270="","",[1]DADOS!G270)</f>
      </c>
      <c r="J289" s="73">
        <f>IF([1]DADOS!I270="MONOFÁSICO","X","")</f>
      </c>
      <c r="K289" s="73">
        <f>IF([1]DADOS!I270="BIFÁSICO","X","")</f>
      </c>
      <c r="L289" s="73">
        <f>IF([1]DADOS!I270="TRIFÁSICO","X","")</f>
      </c>
      <c r="M289" s="73">
        <f>IF([1]DADOS!H270="5M","X","")</f>
      </c>
      <c r="N289" s="73">
        <f>IF([1]DADOS!H270="7M","X","")</f>
      </c>
      <c r="O289" s="73">
        <f>IF([1]DADOS!H270="PP","X","")</f>
      </c>
      <c r="P289" s="73"/>
      <c r="Q289" s="73"/>
      <c r="R289" s="73"/>
      <c r="S289" s="79"/>
      <c r="T289" s="80"/>
      <c r="U289" s="78">
        <f>IF([1]DADOS!F270="","",[1]DADOS!F270)</f>
      </c>
      <c r="V289" s="81">
        <f>IF(C289="","",[1]DADOS!$D$8)</f>
      </c>
    </row>
    <row r="290" ht="21" customHeight="1" spans="2:22" x14ac:dyDescent="0.25">
      <c r="B290" s="73">
        <v>261</v>
      </c>
      <c r="C290" s="74">
        <f>IF([1]DADOS!D271="","",[1]DADOS!D271)</f>
      </c>
      <c r="D290" s="75"/>
      <c r="E290" s="76"/>
      <c r="F290" s="76"/>
      <c r="G290" s="77"/>
      <c r="H290" s="74"/>
      <c r="I290" s="78">
        <f>IF([1]DADOS!G271="","",[1]DADOS!G271)</f>
      </c>
      <c r="J290" s="73">
        <f>IF([1]DADOS!I271="MONOFÁSICO","X","")</f>
      </c>
      <c r="K290" s="73">
        <f>IF([1]DADOS!I271="BIFÁSICO","X","")</f>
      </c>
      <c r="L290" s="73">
        <f>IF([1]DADOS!I271="TRIFÁSICO","X","")</f>
      </c>
      <c r="M290" s="73">
        <f>IF([1]DADOS!H271="5M","X","")</f>
      </c>
      <c r="N290" s="73">
        <f>IF([1]DADOS!H271="7M","X","")</f>
      </c>
      <c r="O290" s="73">
        <f>IF([1]DADOS!H271="PP","X","")</f>
      </c>
      <c r="P290" s="73"/>
      <c r="Q290" s="73"/>
      <c r="R290" s="73"/>
      <c r="S290" s="79"/>
      <c r="T290" s="80"/>
      <c r="U290" s="78">
        <f>IF([1]DADOS!F271="","",[1]DADOS!F271)</f>
      </c>
      <c r="V290" s="81">
        <f>IF(C290="","",[1]DADOS!$D$8)</f>
      </c>
    </row>
    <row r="291" ht="21" customHeight="1" spans="2:22" x14ac:dyDescent="0.25">
      <c r="B291" s="73">
        <v>262</v>
      </c>
      <c r="C291" s="74">
        <f>IF([1]DADOS!D272="","",[1]DADOS!D272)</f>
      </c>
      <c r="D291" s="75"/>
      <c r="E291" s="76"/>
      <c r="F291" s="76"/>
      <c r="G291" s="77"/>
      <c r="H291" s="74"/>
      <c r="I291" s="78">
        <f>IF([1]DADOS!G272="","",[1]DADOS!G272)</f>
      </c>
      <c r="J291" s="73">
        <f>IF([1]DADOS!I272="MONOFÁSICO","X","")</f>
      </c>
      <c r="K291" s="73">
        <f>IF([1]DADOS!I272="BIFÁSICO","X","")</f>
      </c>
      <c r="L291" s="73">
        <f>IF([1]DADOS!I272="TRIFÁSICO","X","")</f>
      </c>
      <c r="M291" s="73">
        <f>IF([1]DADOS!H272="5M","X","")</f>
      </c>
      <c r="N291" s="73">
        <f>IF([1]DADOS!H272="7M","X","")</f>
      </c>
      <c r="O291" s="73">
        <f>IF([1]DADOS!H272="PP","X","")</f>
      </c>
      <c r="P291" s="73"/>
      <c r="Q291" s="73"/>
      <c r="R291" s="73"/>
      <c r="S291" s="79"/>
      <c r="T291" s="80"/>
      <c r="U291" s="78">
        <f>IF([1]DADOS!F272="","",[1]DADOS!F272)</f>
      </c>
      <c r="V291" s="81">
        <f>IF(C291="","",[1]DADOS!$D$8)</f>
      </c>
    </row>
    <row r="292" ht="21" customHeight="1" spans="2:22" x14ac:dyDescent="0.25">
      <c r="B292" s="73">
        <v>263</v>
      </c>
      <c r="C292" s="74">
        <f>IF([1]DADOS!D273="","",[1]DADOS!D273)</f>
      </c>
      <c r="D292" s="75"/>
      <c r="E292" s="76"/>
      <c r="F292" s="76"/>
      <c r="G292" s="77"/>
      <c r="H292" s="74"/>
      <c r="I292" s="78">
        <f>IF([1]DADOS!G273="","",[1]DADOS!G273)</f>
      </c>
      <c r="J292" s="73">
        <f>IF([1]DADOS!I273="MONOFÁSICO","X","")</f>
      </c>
      <c r="K292" s="73">
        <f>IF([1]DADOS!I273="BIFÁSICO","X","")</f>
      </c>
      <c r="L292" s="73">
        <f>IF([1]DADOS!I273="TRIFÁSICO","X","")</f>
      </c>
      <c r="M292" s="73">
        <f>IF([1]DADOS!H273="5M","X","")</f>
      </c>
      <c r="N292" s="73">
        <f>IF([1]DADOS!H273="7M","X","")</f>
      </c>
      <c r="O292" s="73">
        <f>IF([1]DADOS!H273="PP","X","")</f>
      </c>
      <c r="P292" s="73"/>
      <c r="Q292" s="73"/>
      <c r="R292" s="73"/>
      <c r="S292" s="79"/>
      <c r="T292" s="80"/>
      <c r="U292" s="78">
        <f>IF([1]DADOS!F273="","",[1]DADOS!F273)</f>
      </c>
      <c r="V292" s="81">
        <f>IF(C292="","",[1]DADOS!$D$8)</f>
      </c>
    </row>
    <row r="293" ht="21" customHeight="1" spans="2:22" x14ac:dyDescent="0.25">
      <c r="B293" s="73">
        <v>264</v>
      </c>
      <c r="C293" s="74">
        <f>IF([1]DADOS!D274="","",[1]DADOS!D274)</f>
      </c>
      <c r="D293" s="75"/>
      <c r="E293" s="76"/>
      <c r="F293" s="76"/>
      <c r="G293" s="77"/>
      <c r="H293" s="74"/>
      <c r="I293" s="78">
        <f>IF([1]DADOS!G274="","",[1]DADOS!G274)</f>
      </c>
      <c r="J293" s="73">
        <f>IF([1]DADOS!I274="MONOFÁSICO","X","")</f>
      </c>
      <c r="K293" s="73">
        <f>IF([1]DADOS!I274="BIFÁSICO","X","")</f>
      </c>
      <c r="L293" s="73">
        <f>IF([1]DADOS!I274="TRIFÁSICO","X","")</f>
      </c>
      <c r="M293" s="73">
        <f>IF([1]DADOS!H274="5M","X","")</f>
      </c>
      <c r="N293" s="73">
        <f>IF([1]DADOS!H274="7M","X","")</f>
      </c>
      <c r="O293" s="73">
        <f>IF([1]DADOS!H274="PP","X","")</f>
      </c>
      <c r="P293" s="73"/>
      <c r="Q293" s="73"/>
      <c r="R293" s="73"/>
      <c r="S293" s="79"/>
      <c r="T293" s="80"/>
      <c r="U293" s="78">
        <f>IF([1]DADOS!F274="","",[1]DADOS!F274)</f>
      </c>
      <c r="V293" s="81">
        <f>IF(C293="","",[1]DADOS!$D$8)</f>
      </c>
    </row>
    <row r="294" ht="21" customHeight="1" spans="2:22" x14ac:dyDescent="0.25">
      <c r="B294" s="73">
        <v>265</v>
      </c>
      <c r="C294" s="74">
        <f>IF([1]DADOS!D275="","",[1]DADOS!D275)</f>
      </c>
      <c r="D294" s="75"/>
      <c r="E294" s="76"/>
      <c r="F294" s="76"/>
      <c r="G294" s="77"/>
      <c r="H294" s="74"/>
      <c r="I294" s="78">
        <f>IF([1]DADOS!G275="","",[1]DADOS!G275)</f>
      </c>
      <c r="J294" s="73">
        <f>IF([1]DADOS!I275="MONOFÁSICO","X","")</f>
      </c>
      <c r="K294" s="73">
        <f>IF([1]DADOS!I275="BIFÁSICO","X","")</f>
      </c>
      <c r="L294" s="73">
        <f>IF([1]DADOS!I275="TRIFÁSICO","X","")</f>
      </c>
      <c r="M294" s="73">
        <f>IF([1]DADOS!H275="5M","X","")</f>
      </c>
      <c r="N294" s="73">
        <f>IF([1]DADOS!H275="7M","X","")</f>
      </c>
      <c r="O294" s="73">
        <f>IF([1]DADOS!H275="PP","X","")</f>
      </c>
      <c r="P294" s="73"/>
      <c r="Q294" s="73"/>
      <c r="R294" s="73"/>
      <c r="S294" s="79"/>
      <c r="T294" s="80"/>
      <c r="U294" s="78">
        <f>IF([1]DADOS!F275="","",[1]DADOS!F275)</f>
      </c>
      <c r="V294" s="81">
        <f>IF(C294="","",[1]DADOS!$D$8)</f>
      </c>
    </row>
    <row r="295" ht="21" customHeight="1" spans="2:22" x14ac:dyDescent="0.25">
      <c r="B295" s="73">
        <v>266</v>
      </c>
      <c r="C295" s="74">
        <f>IF([1]DADOS!D276="","",[1]DADOS!D276)</f>
      </c>
      <c r="D295" s="75"/>
      <c r="E295" s="76"/>
      <c r="F295" s="76"/>
      <c r="G295" s="77"/>
      <c r="H295" s="74"/>
      <c r="I295" s="78">
        <f>IF([1]DADOS!G276="","",[1]DADOS!G276)</f>
      </c>
      <c r="J295" s="73">
        <f>IF([1]DADOS!I276="MONOFÁSICO","X","")</f>
      </c>
      <c r="K295" s="73">
        <f>IF([1]DADOS!I276="BIFÁSICO","X","")</f>
      </c>
      <c r="L295" s="73">
        <f>IF([1]DADOS!I276="TRIFÁSICO","X","")</f>
      </c>
      <c r="M295" s="73">
        <f>IF([1]DADOS!H276="5M","X","")</f>
      </c>
      <c r="N295" s="73">
        <f>IF([1]DADOS!H276="7M","X","")</f>
      </c>
      <c r="O295" s="73">
        <f>IF([1]DADOS!H276="PP","X","")</f>
      </c>
      <c r="P295" s="73"/>
      <c r="Q295" s="73"/>
      <c r="R295" s="73"/>
      <c r="S295" s="79"/>
      <c r="T295" s="80"/>
      <c r="U295" s="78">
        <f>IF([1]DADOS!F276="","",[1]DADOS!F276)</f>
      </c>
      <c r="V295" s="81">
        <f>IF(C295="","",[1]DADOS!$D$8)</f>
      </c>
    </row>
    <row r="296" ht="21" customHeight="1" spans="2:22" x14ac:dyDescent="0.25">
      <c r="B296" s="73">
        <v>267</v>
      </c>
      <c r="C296" s="74">
        <f>IF([1]DADOS!D277="","",[1]DADOS!D277)</f>
      </c>
      <c r="D296" s="75"/>
      <c r="E296" s="76"/>
      <c r="F296" s="76"/>
      <c r="G296" s="77"/>
      <c r="H296" s="74"/>
      <c r="I296" s="78">
        <f>IF([1]DADOS!G277="","",[1]DADOS!G277)</f>
      </c>
      <c r="J296" s="73">
        <f>IF([1]DADOS!I277="MONOFÁSICO","X","")</f>
      </c>
      <c r="K296" s="73">
        <f>IF([1]DADOS!I277="BIFÁSICO","X","")</f>
      </c>
      <c r="L296" s="73">
        <f>IF([1]DADOS!I277="TRIFÁSICO","X","")</f>
      </c>
      <c r="M296" s="73">
        <f>IF([1]DADOS!H277="5M","X","")</f>
      </c>
      <c r="N296" s="73">
        <f>IF([1]DADOS!H277="7M","X","")</f>
      </c>
      <c r="O296" s="73">
        <f>IF([1]DADOS!H277="PP","X","")</f>
      </c>
      <c r="P296" s="73"/>
      <c r="Q296" s="73"/>
      <c r="R296" s="73"/>
      <c r="S296" s="79"/>
      <c r="T296" s="80"/>
      <c r="U296" s="78">
        <f>IF([1]DADOS!F277="","",[1]DADOS!F277)</f>
      </c>
      <c r="V296" s="81">
        <f>IF(C296="","",[1]DADOS!$D$8)</f>
      </c>
    </row>
    <row r="297" ht="21" customHeight="1" spans="2:22" x14ac:dyDescent="0.25">
      <c r="B297" s="73">
        <v>268</v>
      </c>
      <c r="C297" s="74">
        <f>IF([1]DADOS!D278="","",[1]DADOS!D278)</f>
      </c>
      <c r="D297" s="75"/>
      <c r="E297" s="76"/>
      <c r="F297" s="76"/>
      <c r="G297" s="77"/>
      <c r="H297" s="74"/>
      <c r="I297" s="78">
        <f>IF([1]DADOS!G278="","",[1]DADOS!G278)</f>
      </c>
      <c r="J297" s="73">
        <f>IF([1]DADOS!I278="MONOFÁSICO","X","")</f>
      </c>
      <c r="K297" s="73">
        <f>IF([1]DADOS!I278="BIFÁSICO","X","")</f>
      </c>
      <c r="L297" s="73">
        <f>IF([1]DADOS!I278="TRIFÁSICO","X","")</f>
      </c>
      <c r="M297" s="73">
        <f>IF([1]DADOS!H278="5M","X","")</f>
      </c>
      <c r="N297" s="73">
        <f>IF([1]DADOS!H278="7M","X","")</f>
      </c>
      <c r="O297" s="73">
        <f>IF([1]DADOS!H278="PP","X","")</f>
      </c>
      <c r="P297" s="73"/>
      <c r="Q297" s="73"/>
      <c r="R297" s="73"/>
      <c r="S297" s="79"/>
      <c r="T297" s="80"/>
      <c r="U297" s="78">
        <f>IF([1]DADOS!F278="","",[1]DADOS!F278)</f>
      </c>
      <c r="V297" s="81">
        <f>IF(C297="","",[1]DADOS!$D$8)</f>
      </c>
    </row>
    <row r="298" ht="21" customHeight="1" spans="2:22" x14ac:dyDescent="0.25">
      <c r="B298" s="73">
        <v>269</v>
      </c>
      <c r="C298" s="74">
        <f>IF([1]DADOS!D279="","",[1]DADOS!D279)</f>
      </c>
      <c r="D298" s="75"/>
      <c r="E298" s="76"/>
      <c r="F298" s="76"/>
      <c r="G298" s="77"/>
      <c r="H298" s="74"/>
      <c r="I298" s="78">
        <f>IF([1]DADOS!G279="","",[1]DADOS!G279)</f>
      </c>
      <c r="J298" s="73">
        <f>IF([1]DADOS!I279="MONOFÁSICO","X","")</f>
      </c>
      <c r="K298" s="73">
        <f>IF([1]DADOS!I279="BIFÁSICO","X","")</f>
      </c>
      <c r="L298" s="73">
        <f>IF([1]DADOS!I279="TRIFÁSICO","X","")</f>
      </c>
      <c r="M298" s="73">
        <f>IF([1]DADOS!H279="5M","X","")</f>
      </c>
      <c r="N298" s="73">
        <f>IF([1]DADOS!H279="7M","X","")</f>
      </c>
      <c r="O298" s="73">
        <f>IF([1]DADOS!H279="PP","X","")</f>
      </c>
      <c r="P298" s="73"/>
      <c r="Q298" s="73"/>
      <c r="R298" s="73"/>
      <c r="S298" s="79"/>
      <c r="T298" s="80"/>
      <c r="U298" s="78">
        <f>IF([1]DADOS!F279="","",[1]DADOS!F279)</f>
      </c>
      <c r="V298" s="81">
        <f>IF(C298="","",[1]DADOS!$D$8)</f>
      </c>
    </row>
    <row r="299" ht="21" customHeight="1" spans="2:22" x14ac:dyDescent="0.25">
      <c r="B299" s="73">
        <v>270</v>
      </c>
      <c r="C299" s="74">
        <f>IF([1]DADOS!D280="","",[1]DADOS!D280)</f>
      </c>
      <c r="D299" s="75"/>
      <c r="E299" s="76"/>
      <c r="F299" s="76"/>
      <c r="G299" s="77"/>
      <c r="H299" s="74"/>
      <c r="I299" s="78">
        <f>IF([1]DADOS!G280="","",[1]DADOS!G280)</f>
      </c>
      <c r="J299" s="73">
        <f>IF([1]DADOS!I280="MONOFÁSICO","X","")</f>
      </c>
      <c r="K299" s="73">
        <f>IF([1]DADOS!I280="BIFÁSICO","X","")</f>
      </c>
      <c r="L299" s="73">
        <f>IF([1]DADOS!I280="TRIFÁSICO","X","")</f>
      </c>
      <c r="M299" s="73">
        <f>IF([1]DADOS!H280="5M","X","")</f>
      </c>
      <c r="N299" s="73">
        <f>IF([1]DADOS!H280="7M","X","")</f>
      </c>
      <c r="O299" s="73">
        <f>IF([1]DADOS!H280="PP","X","")</f>
      </c>
      <c r="P299" s="73"/>
      <c r="Q299" s="73"/>
      <c r="R299" s="73"/>
      <c r="S299" s="79"/>
      <c r="T299" s="80"/>
      <c r="U299" s="78">
        <f>IF([1]DADOS!F280="","",[1]DADOS!F280)</f>
      </c>
      <c r="V299" s="81">
        <f>IF(C299="","",[1]DADOS!$D$8)</f>
      </c>
    </row>
    <row r="300" ht="21" customHeight="1" spans="2:22" x14ac:dyDescent="0.25">
      <c r="B300" s="73">
        <v>271</v>
      </c>
      <c r="C300" s="74">
        <f>IF([1]DADOS!D281="","",[1]DADOS!D281)</f>
      </c>
      <c r="D300" s="75"/>
      <c r="E300" s="76"/>
      <c r="F300" s="76"/>
      <c r="G300" s="77"/>
      <c r="H300" s="74"/>
      <c r="I300" s="78">
        <f>IF([1]DADOS!G281="","",[1]DADOS!G281)</f>
      </c>
      <c r="J300" s="73">
        <f>IF([1]DADOS!I281="MONOFÁSICO","X","")</f>
      </c>
      <c r="K300" s="73">
        <f>IF([1]DADOS!I281="BIFÁSICO","X","")</f>
      </c>
      <c r="L300" s="73">
        <f>IF([1]DADOS!I281="TRIFÁSICO","X","")</f>
      </c>
      <c r="M300" s="73">
        <f>IF([1]DADOS!H281="5M","X","")</f>
      </c>
      <c r="N300" s="73">
        <f>IF([1]DADOS!H281="7M","X","")</f>
      </c>
      <c r="O300" s="73">
        <f>IF([1]DADOS!H281="PP","X","")</f>
      </c>
      <c r="P300" s="73"/>
      <c r="Q300" s="73"/>
      <c r="R300" s="73"/>
      <c r="S300" s="79"/>
      <c r="T300" s="80"/>
      <c r="U300" s="78">
        <f>IF([1]DADOS!F281="","",[1]DADOS!F281)</f>
      </c>
      <c r="V300" s="81">
        <f>IF(C300="","",[1]DADOS!$D$8)</f>
      </c>
    </row>
    <row r="301" ht="21" customHeight="1" spans="2:22" x14ac:dyDescent="0.25">
      <c r="B301" s="73">
        <v>272</v>
      </c>
      <c r="C301" s="74">
        <f>IF([1]DADOS!D282="","",[1]DADOS!D282)</f>
      </c>
      <c r="D301" s="75"/>
      <c r="E301" s="76"/>
      <c r="F301" s="76"/>
      <c r="G301" s="77"/>
      <c r="H301" s="74"/>
      <c r="I301" s="78">
        <f>IF([1]DADOS!G282="","",[1]DADOS!G282)</f>
      </c>
      <c r="J301" s="73">
        <f>IF([1]DADOS!I282="MONOFÁSICO","X","")</f>
      </c>
      <c r="K301" s="73">
        <f>IF([1]DADOS!I282="BIFÁSICO","X","")</f>
      </c>
      <c r="L301" s="73">
        <f>IF([1]DADOS!I282="TRIFÁSICO","X","")</f>
      </c>
      <c r="M301" s="73">
        <f>IF([1]DADOS!H282="5M","X","")</f>
      </c>
      <c r="N301" s="73">
        <f>IF([1]DADOS!H282="7M","X","")</f>
      </c>
      <c r="O301" s="73">
        <f>IF([1]DADOS!H282="PP","X","")</f>
      </c>
      <c r="P301" s="73"/>
      <c r="Q301" s="73"/>
      <c r="R301" s="73"/>
      <c r="S301" s="79"/>
      <c r="T301" s="80"/>
      <c r="U301" s="78">
        <f>IF([1]DADOS!F282="","",[1]DADOS!F282)</f>
      </c>
      <c r="V301" s="81">
        <f>IF(C301="","",[1]DADOS!$D$8)</f>
      </c>
    </row>
    <row r="302" ht="21" customHeight="1" spans="2:22" x14ac:dyDescent="0.25">
      <c r="B302" s="73">
        <v>273</v>
      </c>
      <c r="C302" s="74">
        <f>IF([1]DADOS!D283="","",[1]DADOS!D283)</f>
      </c>
      <c r="D302" s="75"/>
      <c r="E302" s="76"/>
      <c r="F302" s="76"/>
      <c r="G302" s="77"/>
      <c r="H302" s="74"/>
      <c r="I302" s="78">
        <f>IF([1]DADOS!G283="","",[1]DADOS!G283)</f>
      </c>
      <c r="J302" s="73">
        <f>IF([1]DADOS!I283="MONOFÁSICO","X","")</f>
      </c>
      <c r="K302" s="73">
        <f>IF([1]DADOS!I283="BIFÁSICO","X","")</f>
      </c>
      <c r="L302" s="73">
        <f>IF([1]DADOS!I283="TRIFÁSICO","X","")</f>
      </c>
      <c r="M302" s="73">
        <f>IF([1]DADOS!H283="5M","X","")</f>
      </c>
      <c r="N302" s="73">
        <f>IF([1]DADOS!H283="7M","X","")</f>
      </c>
      <c r="O302" s="73">
        <f>IF([1]DADOS!H283="PP","X","")</f>
      </c>
      <c r="P302" s="73"/>
      <c r="Q302" s="73"/>
      <c r="R302" s="73"/>
      <c r="S302" s="79"/>
      <c r="T302" s="80"/>
      <c r="U302" s="78">
        <f>IF([1]DADOS!F283="","",[1]DADOS!F283)</f>
      </c>
      <c r="V302" s="81">
        <f>IF(C302="","",[1]DADOS!$D$8)</f>
      </c>
    </row>
    <row r="303" ht="21" customHeight="1" spans="2:22" x14ac:dyDescent="0.25">
      <c r="B303" s="73">
        <v>274</v>
      </c>
      <c r="C303" s="74">
        <f>IF([1]DADOS!D284="","",[1]DADOS!D284)</f>
      </c>
      <c r="D303" s="75"/>
      <c r="E303" s="76"/>
      <c r="F303" s="76"/>
      <c r="G303" s="77"/>
      <c r="H303" s="74"/>
      <c r="I303" s="78">
        <f>IF([1]DADOS!G284="","",[1]DADOS!G284)</f>
      </c>
      <c r="J303" s="73">
        <f>IF([1]DADOS!I284="MONOFÁSICO","X","")</f>
      </c>
      <c r="K303" s="73">
        <f>IF([1]DADOS!I284="BIFÁSICO","X","")</f>
      </c>
      <c r="L303" s="73">
        <f>IF([1]DADOS!I284="TRIFÁSICO","X","")</f>
      </c>
      <c r="M303" s="73">
        <f>IF([1]DADOS!H284="5M","X","")</f>
      </c>
      <c r="N303" s="73">
        <f>IF([1]DADOS!H284="7M","X","")</f>
      </c>
      <c r="O303" s="73">
        <f>IF([1]DADOS!H284="PP","X","")</f>
      </c>
      <c r="P303" s="73"/>
      <c r="Q303" s="73"/>
      <c r="R303" s="73"/>
      <c r="S303" s="79"/>
      <c r="T303" s="80"/>
      <c r="U303" s="78">
        <f>IF([1]DADOS!F284="","",[1]DADOS!F284)</f>
      </c>
      <c r="V303" s="81">
        <f>IF(C303="","",[1]DADOS!$D$8)</f>
      </c>
    </row>
    <row r="304" ht="21" customHeight="1" spans="2:22" x14ac:dyDescent="0.25">
      <c r="B304" s="73">
        <v>275</v>
      </c>
      <c r="C304" s="74">
        <f>IF([1]DADOS!D285="","",[1]DADOS!D285)</f>
      </c>
      <c r="D304" s="75"/>
      <c r="E304" s="76"/>
      <c r="F304" s="76"/>
      <c r="G304" s="77"/>
      <c r="H304" s="74"/>
      <c r="I304" s="78">
        <f>IF([1]DADOS!G285="","",[1]DADOS!G285)</f>
      </c>
      <c r="J304" s="73">
        <f>IF([1]DADOS!I285="MONOFÁSICO","X","")</f>
      </c>
      <c r="K304" s="73">
        <f>IF([1]DADOS!I285="BIFÁSICO","X","")</f>
      </c>
      <c r="L304" s="73">
        <f>IF([1]DADOS!I285="TRIFÁSICO","X","")</f>
      </c>
      <c r="M304" s="73">
        <f>IF([1]DADOS!H285="5M","X","")</f>
      </c>
      <c r="N304" s="73">
        <f>IF([1]DADOS!H285="7M","X","")</f>
      </c>
      <c r="O304" s="73">
        <f>IF([1]DADOS!H285="PP","X","")</f>
      </c>
      <c r="P304" s="73"/>
      <c r="Q304" s="73"/>
      <c r="R304" s="73"/>
      <c r="S304" s="79"/>
      <c r="T304" s="80"/>
      <c r="U304" s="78">
        <f>IF([1]DADOS!F285="","",[1]DADOS!F285)</f>
      </c>
      <c r="V304" s="81">
        <f>IF(C304="","",[1]DADOS!$D$8)</f>
      </c>
    </row>
    <row r="305" ht="21" customHeight="1" spans="2:22" x14ac:dyDescent="0.25">
      <c r="B305" s="73">
        <v>276</v>
      </c>
      <c r="C305" s="74">
        <f>IF([1]DADOS!D286="","",[1]DADOS!D286)</f>
      </c>
      <c r="D305" s="75"/>
      <c r="E305" s="76"/>
      <c r="F305" s="76"/>
      <c r="G305" s="77"/>
      <c r="H305" s="74"/>
      <c r="I305" s="78">
        <f>IF([1]DADOS!G286="","",[1]DADOS!G286)</f>
      </c>
      <c r="J305" s="73">
        <f>IF([1]DADOS!I286="MONOFÁSICO","X","")</f>
      </c>
      <c r="K305" s="73">
        <f>IF([1]DADOS!I286="BIFÁSICO","X","")</f>
      </c>
      <c r="L305" s="73">
        <f>IF([1]DADOS!I286="TRIFÁSICO","X","")</f>
      </c>
      <c r="M305" s="73">
        <f>IF([1]DADOS!H286="5M","X","")</f>
      </c>
      <c r="N305" s="73">
        <f>IF([1]DADOS!H286="7M","X","")</f>
      </c>
      <c r="O305" s="73">
        <f>IF([1]DADOS!H286="PP","X","")</f>
      </c>
      <c r="P305" s="73"/>
      <c r="Q305" s="73"/>
      <c r="R305" s="73"/>
      <c r="S305" s="79"/>
      <c r="T305" s="80"/>
      <c r="U305" s="78">
        <f>IF([1]DADOS!F286="","",[1]DADOS!F286)</f>
      </c>
      <c r="V305" s="81">
        <f>IF(C305="","",[1]DADOS!$D$8)</f>
      </c>
    </row>
    <row r="306" ht="21" customHeight="1" spans="2:22" x14ac:dyDescent="0.25">
      <c r="B306" s="73">
        <v>277</v>
      </c>
      <c r="C306" s="74">
        <f>IF([1]DADOS!D287="","",[1]DADOS!D287)</f>
      </c>
      <c r="D306" s="75"/>
      <c r="E306" s="76"/>
      <c r="F306" s="76"/>
      <c r="G306" s="77"/>
      <c r="H306" s="74"/>
      <c r="I306" s="78">
        <f>IF([1]DADOS!G287="","",[1]DADOS!G287)</f>
      </c>
      <c r="J306" s="73">
        <f>IF([1]DADOS!I287="MONOFÁSICO","X","")</f>
      </c>
      <c r="K306" s="73">
        <f>IF([1]DADOS!I287="BIFÁSICO","X","")</f>
      </c>
      <c r="L306" s="73">
        <f>IF([1]DADOS!I287="TRIFÁSICO","X","")</f>
      </c>
      <c r="M306" s="73">
        <f>IF([1]DADOS!H287="5M","X","")</f>
      </c>
      <c r="N306" s="73">
        <f>IF([1]DADOS!H287="7M","X","")</f>
      </c>
      <c r="O306" s="73">
        <f>IF([1]DADOS!H287="PP","X","")</f>
      </c>
      <c r="P306" s="73"/>
      <c r="Q306" s="73"/>
      <c r="R306" s="73"/>
      <c r="S306" s="79"/>
      <c r="T306" s="80"/>
      <c r="U306" s="78">
        <f>IF([1]DADOS!F287="","",[1]DADOS!F287)</f>
      </c>
      <c r="V306" s="81">
        <f>IF(C306="","",[1]DADOS!$D$8)</f>
      </c>
    </row>
    <row r="307" ht="21" customHeight="1" spans="2:22" x14ac:dyDescent="0.25">
      <c r="B307" s="73">
        <v>278</v>
      </c>
      <c r="C307" s="74">
        <f>IF([1]DADOS!D288="","",[1]DADOS!D288)</f>
      </c>
      <c r="D307" s="75"/>
      <c r="E307" s="76"/>
      <c r="F307" s="76"/>
      <c r="G307" s="77"/>
      <c r="H307" s="74"/>
      <c r="I307" s="78">
        <f>IF([1]DADOS!G288="","",[1]DADOS!G288)</f>
      </c>
      <c r="J307" s="73">
        <f>IF([1]DADOS!I288="MONOFÁSICO","X","")</f>
      </c>
      <c r="K307" s="73">
        <f>IF([1]DADOS!I288="BIFÁSICO","X","")</f>
      </c>
      <c r="L307" s="73">
        <f>IF([1]DADOS!I288="TRIFÁSICO","X","")</f>
      </c>
      <c r="M307" s="73">
        <f>IF([1]DADOS!H288="5M","X","")</f>
      </c>
      <c r="N307" s="73">
        <f>IF([1]DADOS!H288="7M","X","")</f>
      </c>
      <c r="O307" s="73">
        <f>IF([1]DADOS!H288="PP","X","")</f>
      </c>
      <c r="P307" s="73"/>
      <c r="Q307" s="73"/>
      <c r="R307" s="73"/>
      <c r="S307" s="79"/>
      <c r="T307" s="80"/>
      <c r="U307" s="78">
        <f>IF([1]DADOS!F288="","",[1]DADOS!F288)</f>
      </c>
      <c r="V307" s="81">
        <f>IF(C307="","",[1]DADOS!$D$8)</f>
      </c>
    </row>
    <row r="308" ht="21" customHeight="1" spans="2:22" x14ac:dyDescent="0.25">
      <c r="B308" s="73">
        <v>279</v>
      </c>
      <c r="C308" s="74">
        <f>IF([1]DADOS!D289="","",[1]DADOS!D289)</f>
      </c>
      <c r="D308" s="75"/>
      <c r="E308" s="76"/>
      <c r="F308" s="76"/>
      <c r="G308" s="77"/>
      <c r="H308" s="74"/>
      <c r="I308" s="78">
        <f>IF([1]DADOS!G289="","",[1]DADOS!G289)</f>
      </c>
      <c r="J308" s="73">
        <f>IF([1]DADOS!I289="MONOFÁSICO","X","")</f>
      </c>
      <c r="K308" s="73">
        <f>IF([1]DADOS!I289="BIFÁSICO","X","")</f>
      </c>
      <c r="L308" s="73">
        <f>IF([1]DADOS!I289="TRIFÁSICO","X","")</f>
      </c>
      <c r="M308" s="73">
        <f>IF([1]DADOS!H289="5M","X","")</f>
      </c>
      <c r="N308" s="73">
        <f>IF([1]DADOS!H289="7M","X","")</f>
      </c>
      <c r="O308" s="73">
        <f>IF([1]DADOS!H289="PP","X","")</f>
      </c>
      <c r="P308" s="73"/>
      <c r="Q308" s="73"/>
      <c r="R308" s="73"/>
      <c r="S308" s="79"/>
      <c r="T308" s="80"/>
      <c r="U308" s="78">
        <f>IF([1]DADOS!F289="","",[1]DADOS!F289)</f>
      </c>
      <c r="V308" s="81">
        <f>IF(C308="","",[1]DADOS!$D$8)</f>
      </c>
    </row>
    <row r="309" ht="21" customHeight="1" spans="2:22" x14ac:dyDescent="0.25">
      <c r="B309" s="73">
        <v>280</v>
      </c>
      <c r="C309" s="74">
        <f>IF([1]DADOS!D290="","",[1]DADOS!D290)</f>
      </c>
      <c r="D309" s="75"/>
      <c r="E309" s="76"/>
      <c r="F309" s="76"/>
      <c r="G309" s="77"/>
      <c r="H309" s="74"/>
      <c r="I309" s="78">
        <f>IF([1]DADOS!G290="","",[1]DADOS!G290)</f>
      </c>
      <c r="J309" s="73">
        <f>IF([1]DADOS!I290="MONOFÁSICO","X","")</f>
      </c>
      <c r="K309" s="73">
        <f>IF([1]DADOS!I290="BIFÁSICO","X","")</f>
      </c>
      <c r="L309" s="73">
        <f>IF([1]DADOS!I290="TRIFÁSICO","X","")</f>
      </c>
      <c r="M309" s="73">
        <f>IF([1]DADOS!H290="5M","X","")</f>
      </c>
      <c r="N309" s="73">
        <f>IF([1]DADOS!H290="7M","X","")</f>
      </c>
      <c r="O309" s="73">
        <f>IF([1]DADOS!H290="PP","X","")</f>
      </c>
      <c r="P309" s="73"/>
      <c r="Q309" s="73"/>
      <c r="R309" s="73"/>
      <c r="S309" s="79"/>
      <c r="T309" s="80"/>
      <c r="U309" s="78">
        <f>IF([1]DADOS!F290="","",[1]DADOS!F290)</f>
      </c>
      <c r="V309" s="81">
        <f>IF(C309="","",[1]DADOS!$D$8)</f>
      </c>
    </row>
    <row r="310" ht="21" customHeight="1" spans="2:22" x14ac:dyDescent="0.25">
      <c r="B310" s="73">
        <v>281</v>
      </c>
      <c r="C310" s="74">
        <f>IF([1]DADOS!D291="","",[1]DADOS!D291)</f>
      </c>
      <c r="D310" s="75"/>
      <c r="E310" s="76"/>
      <c r="F310" s="76"/>
      <c r="G310" s="77"/>
      <c r="H310" s="74"/>
      <c r="I310" s="78">
        <f>IF([1]DADOS!G291="","",[1]DADOS!G291)</f>
      </c>
      <c r="J310" s="73">
        <f>IF([1]DADOS!I291="MONOFÁSICO","X","")</f>
      </c>
      <c r="K310" s="73">
        <f>IF([1]DADOS!I291="BIFÁSICO","X","")</f>
      </c>
      <c r="L310" s="73">
        <f>IF([1]DADOS!I291="TRIFÁSICO","X","")</f>
      </c>
      <c r="M310" s="73">
        <f>IF([1]DADOS!H291="5M","X","")</f>
      </c>
      <c r="N310" s="73">
        <f>IF([1]DADOS!H291="7M","X","")</f>
      </c>
      <c r="O310" s="73">
        <f>IF([1]DADOS!H291="PP","X","")</f>
      </c>
      <c r="P310" s="73"/>
      <c r="Q310" s="73"/>
      <c r="R310" s="73"/>
      <c r="S310" s="79"/>
      <c r="T310" s="80"/>
      <c r="U310" s="78">
        <f>IF([1]DADOS!F291="","",[1]DADOS!F291)</f>
      </c>
      <c r="V310" s="81">
        <f>IF(C310="","",[1]DADOS!$D$8)</f>
      </c>
    </row>
    <row r="311" ht="21" customHeight="1" spans="2:22" x14ac:dyDescent="0.25">
      <c r="B311" s="73">
        <v>282</v>
      </c>
      <c r="C311" s="74">
        <f>IF([1]DADOS!D292="","",[1]DADOS!D292)</f>
      </c>
      <c r="D311" s="75"/>
      <c r="E311" s="76"/>
      <c r="F311" s="76"/>
      <c r="G311" s="77"/>
      <c r="H311" s="74"/>
      <c r="I311" s="78">
        <f>IF([1]DADOS!G292="","",[1]DADOS!G292)</f>
      </c>
      <c r="J311" s="73">
        <f>IF([1]DADOS!I292="MONOFÁSICO","X","")</f>
      </c>
      <c r="K311" s="73">
        <f>IF([1]DADOS!I292="BIFÁSICO","X","")</f>
      </c>
      <c r="L311" s="73">
        <f>IF([1]DADOS!I292="TRIFÁSICO","X","")</f>
      </c>
      <c r="M311" s="73">
        <f>IF([1]DADOS!H292="5M","X","")</f>
      </c>
      <c r="N311" s="73">
        <f>IF([1]DADOS!H292="7M","X","")</f>
      </c>
      <c r="O311" s="73">
        <f>IF([1]DADOS!H292="PP","X","")</f>
      </c>
      <c r="P311" s="73"/>
      <c r="Q311" s="73"/>
      <c r="R311" s="73"/>
      <c r="S311" s="79"/>
      <c r="T311" s="80"/>
      <c r="U311" s="78">
        <f>IF([1]DADOS!F292="","",[1]DADOS!F292)</f>
      </c>
      <c r="V311" s="81">
        <f>IF(C311="","",[1]DADOS!$D$8)</f>
      </c>
    </row>
    <row r="312" ht="21" customHeight="1" spans="2:22" x14ac:dyDescent="0.25">
      <c r="B312" s="73">
        <v>283</v>
      </c>
      <c r="C312" s="74">
        <f>IF([1]DADOS!D293="","",[1]DADOS!D293)</f>
      </c>
      <c r="D312" s="75"/>
      <c r="E312" s="76"/>
      <c r="F312" s="76"/>
      <c r="G312" s="77"/>
      <c r="H312" s="74"/>
      <c r="I312" s="78">
        <f>IF([1]DADOS!G293="","",[1]DADOS!G293)</f>
      </c>
      <c r="J312" s="73">
        <f>IF([1]DADOS!I293="MONOFÁSICO","X","")</f>
      </c>
      <c r="K312" s="73">
        <f>IF([1]DADOS!I293="BIFÁSICO","X","")</f>
      </c>
      <c r="L312" s="73">
        <f>IF([1]DADOS!I293="TRIFÁSICO","X","")</f>
      </c>
      <c r="M312" s="73">
        <f>IF([1]DADOS!H293="5M","X","")</f>
      </c>
      <c r="N312" s="73">
        <f>IF([1]DADOS!H293="7M","X","")</f>
      </c>
      <c r="O312" s="73">
        <f>IF([1]DADOS!H293="PP","X","")</f>
      </c>
      <c r="P312" s="73"/>
      <c r="Q312" s="73"/>
      <c r="R312" s="73"/>
      <c r="S312" s="79"/>
      <c r="T312" s="80"/>
      <c r="U312" s="78">
        <f>IF([1]DADOS!F293="","",[1]DADOS!F293)</f>
      </c>
      <c r="V312" s="81">
        <f>IF(C312="","",[1]DADOS!$D$8)</f>
      </c>
    </row>
    <row r="313" ht="21" customHeight="1" spans="2:22" x14ac:dyDescent="0.25">
      <c r="B313" s="73">
        <v>284</v>
      </c>
      <c r="C313" s="74">
        <f>IF([1]DADOS!D294="","",[1]DADOS!D294)</f>
      </c>
      <c r="D313" s="75"/>
      <c r="E313" s="76"/>
      <c r="F313" s="76"/>
      <c r="G313" s="77"/>
      <c r="H313" s="74"/>
      <c r="I313" s="78">
        <f>IF([1]DADOS!G294="","",[1]DADOS!G294)</f>
      </c>
      <c r="J313" s="73">
        <f>IF([1]DADOS!I294="MONOFÁSICO","X","")</f>
      </c>
      <c r="K313" s="73">
        <f>IF([1]DADOS!I294="BIFÁSICO","X","")</f>
      </c>
      <c r="L313" s="73">
        <f>IF([1]DADOS!I294="TRIFÁSICO","X","")</f>
      </c>
      <c r="M313" s="73">
        <f>IF([1]DADOS!H294="5M","X","")</f>
      </c>
      <c r="N313" s="73">
        <f>IF([1]DADOS!H294="7M","X","")</f>
      </c>
      <c r="O313" s="73">
        <f>IF([1]DADOS!H294="PP","X","")</f>
      </c>
      <c r="P313" s="73"/>
      <c r="Q313" s="73"/>
      <c r="R313" s="73"/>
      <c r="S313" s="79"/>
      <c r="T313" s="80"/>
      <c r="U313" s="78">
        <f>IF([1]DADOS!F294="","",[1]DADOS!F294)</f>
      </c>
      <c r="V313" s="81">
        <f>IF(C313="","",[1]DADOS!$D$8)</f>
      </c>
    </row>
    <row r="314" ht="21" customHeight="1" spans="2:22" x14ac:dyDescent="0.25">
      <c r="B314" s="73">
        <v>285</v>
      </c>
      <c r="C314" s="74">
        <f>IF([1]DADOS!D295="","",[1]DADOS!D295)</f>
      </c>
      <c r="D314" s="75"/>
      <c r="E314" s="76"/>
      <c r="F314" s="76"/>
      <c r="G314" s="77"/>
      <c r="H314" s="74"/>
      <c r="I314" s="78">
        <f>IF([1]DADOS!G295="","",[1]DADOS!G295)</f>
      </c>
      <c r="J314" s="73">
        <f>IF([1]DADOS!I295="MONOFÁSICO","X","")</f>
      </c>
      <c r="K314" s="73">
        <f>IF([1]DADOS!I295="BIFÁSICO","X","")</f>
      </c>
      <c r="L314" s="73">
        <f>IF([1]DADOS!I295="TRIFÁSICO","X","")</f>
      </c>
      <c r="M314" s="73">
        <f>IF([1]DADOS!H295="5M","X","")</f>
      </c>
      <c r="N314" s="73">
        <f>IF([1]DADOS!H295="7M","X","")</f>
      </c>
      <c r="O314" s="73">
        <f>IF([1]DADOS!H295="PP","X","")</f>
      </c>
      <c r="P314" s="73"/>
      <c r="Q314" s="73"/>
      <c r="R314" s="73"/>
      <c r="S314" s="79"/>
      <c r="T314" s="80"/>
      <c r="U314" s="78">
        <f>IF([1]DADOS!F295="","",[1]DADOS!F295)</f>
      </c>
      <c r="V314" s="81">
        <f>IF(C314="","",[1]DADOS!$D$8)</f>
      </c>
    </row>
    <row r="315" ht="21" customHeight="1" spans="2:22" x14ac:dyDescent="0.25">
      <c r="B315" s="73">
        <v>286</v>
      </c>
      <c r="C315" s="74">
        <f>IF([1]DADOS!D296="","",[1]DADOS!D296)</f>
      </c>
      <c r="D315" s="75"/>
      <c r="E315" s="76"/>
      <c r="F315" s="76"/>
      <c r="G315" s="77"/>
      <c r="H315" s="74"/>
      <c r="I315" s="78">
        <f>IF([1]DADOS!G296="","",[1]DADOS!G296)</f>
      </c>
      <c r="J315" s="73">
        <f>IF([1]DADOS!I296="MONOFÁSICO","X","")</f>
      </c>
      <c r="K315" s="73">
        <f>IF([1]DADOS!I296="BIFÁSICO","X","")</f>
      </c>
      <c r="L315" s="73">
        <f>IF([1]DADOS!I296="TRIFÁSICO","X","")</f>
      </c>
      <c r="M315" s="73">
        <f>IF([1]DADOS!H296="5M","X","")</f>
      </c>
      <c r="N315" s="73">
        <f>IF([1]DADOS!H296="7M","X","")</f>
      </c>
      <c r="O315" s="73">
        <f>IF([1]DADOS!H296="PP","X","")</f>
      </c>
      <c r="P315" s="73"/>
      <c r="Q315" s="73"/>
      <c r="R315" s="73"/>
      <c r="S315" s="79"/>
      <c r="T315" s="80"/>
      <c r="U315" s="78">
        <f>IF([1]DADOS!F296="","",[1]DADOS!F296)</f>
      </c>
      <c r="V315" s="81">
        <f>IF(C315="","",[1]DADOS!$D$8)</f>
      </c>
    </row>
    <row r="316" ht="21" customHeight="1" spans="2:22" x14ac:dyDescent="0.25">
      <c r="B316" s="73">
        <v>287</v>
      </c>
      <c r="C316" s="74">
        <f>IF([1]DADOS!D297="","",[1]DADOS!D297)</f>
      </c>
      <c r="D316" s="75"/>
      <c r="E316" s="76"/>
      <c r="F316" s="76"/>
      <c r="G316" s="77"/>
      <c r="H316" s="74"/>
      <c r="I316" s="78">
        <f>IF([1]DADOS!G297="","",[1]DADOS!G297)</f>
      </c>
      <c r="J316" s="73">
        <f>IF([1]DADOS!I297="MONOFÁSICO","X","")</f>
      </c>
      <c r="K316" s="73">
        <f>IF([1]DADOS!I297="BIFÁSICO","X","")</f>
      </c>
      <c r="L316" s="73">
        <f>IF([1]DADOS!I297="TRIFÁSICO","X","")</f>
      </c>
      <c r="M316" s="73">
        <f>IF([1]DADOS!H297="5M","X","")</f>
      </c>
      <c r="N316" s="73">
        <f>IF([1]DADOS!H297="7M","X","")</f>
      </c>
      <c r="O316" s="73">
        <f>IF([1]DADOS!H297="PP","X","")</f>
      </c>
      <c r="P316" s="73"/>
      <c r="Q316" s="73"/>
      <c r="R316" s="73"/>
      <c r="S316" s="79"/>
      <c r="T316" s="80"/>
      <c r="U316" s="78">
        <f>IF([1]DADOS!F297="","",[1]DADOS!F297)</f>
      </c>
      <c r="V316" s="81">
        <f>IF(C316="","",[1]DADOS!$D$8)</f>
      </c>
    </row>
    <row r="317" ht="21" customHeight="1" spans="2:22" x14ac:dyDescent="0.25">
      <c r="B317" s="73">
        <v>288</v>
      </c>
      <c r="C317" s="74">
        <f>IF([1]DADOS!D298="","",[1]DADOS!D298)</f>
      </c>
      <c r="D317" s="75"/>
      <c r="E317" s="76"/>
      <c r="F317" s="76"/>
      <c r="G317" s="77"/>
      <c r="H317" s="74"/>
      <c r="I317" s="78">
        <f>IF([1]DADOS!G298="","",[1]DADOS!G298)</f>
      </c>
      <c r="J317" s="73">
        <f>IF([1]DADOS!I298="MONOFÁSICO","X","")</f>
      </c>
      <c r="K317" s="73">
        <f>IF([1]DADOS!I298="BIFÁSICO","X","")</f>
      </c>
      <c r="L317" s="73">
        <f>IF([1]DADOS!I298="TRIFÁSICO","X","")</f>
      </c>
      <c r="M317" s="73">
        <f>IF([1]DADOS!H298="5M","X","")</f>
      </c>
      <c r="N317" s="73">
        <f>IF([1]DADOS!H298="7M","X","")</f>
      </c>
      <c r="O317" s="73">
        <f>IF([1]DADOS!H298="PP","X","")</f>
      </c>
      <c r="P317" s="73"/>
      <c r="Q317" s="73"/>
      <c r="R317" s="73"/>
      <c r="S317" s="79"/>
      <c r="T317" s="80"/>
      <c r="U317" s="78">
        <f>IF([1]DADOS!F298="","",[1]DADOS!F298)</f>
      </c>
      <c r="V317" s="81">
        <f>IF(C317="","",[1]DADOS!$D$8)</f>
      </c>
    </row>
    <row r="318" ht="21" customHeight="1" spans="2:22" x14ac:dyDescent="0.25">
      <c r="B318" s="73">
        <v>289</v>
      </c>
      <c r="C318" s="74">
        <f>IF([1]DADOS!D299="","",[1]DADOS!D299)</f>
      </c>
      <c r="D318" s="75"/>
      <c r="E318" s="76"/>
      <c r="F318" s="76"/>
      <c r="G318" s="77"/>
      <c r="H318" s="74"/>
      <c r="I318" s="78">
        <f>IF([1]DADOS!G299="","",[1]DADOS!G299)</f>
      </c>
      <c r="J318" s="73">
        <f>IF([1]DADOS!I299="MONOFÁSICO","X","")</f>
      </c>
      <c r="K318" s="73">
        <f>IF([1]DADOS!I299="BIFÁSICO","X","")</f>
      </c>
      <c r="L318" s="73">
        <f>IF([1]DADOS!I299="TRIFÁSICO","X","")</f>
      </c>
      <c r="M318" s="73">
        <f>IF([1]DADOS!H299="5M","X","")</f>
      </c>
      <c r="N318" s="73">
        <f>IF([1]DADOS!H299="7M","X","")</f>
      </c>
      <c r="O318" s="73">
        <f>IF([1]DADOS!H299="PP","X","")</f>
      </c>
      <c r="P318" s="73"/>
      <c r="Q318" s="73"/>
      <c r="R318" s="73"/>
      <c r="S318" s="79"/>
      <c r="T318" s="80"/>
      <c r="U318" s="78">
        <f>IF([1]DADOS!F299="","",[1]DADOS!F299)</f>
      </c>
      <c r="V318" s="81">
        <f>IF(C318="","",[1]DADOS!$D$8)</f>
      </c>
    </row>
    <row r="319" ht="21" customHeight="1" spans="2:22" x14ac:dyDescent="0.25">
      <c r="B319" s="73">
        <v>290</v>
      </c>
      <c r="C319" s="74">
        <f>IF([1]DADOS!D300="","",[1]DADOS!D300)</f>
      </c>
      <c r="D319" s="75"/>
      <c r="E319" s="76"/>
      <c r="F319" s="76"/>
      <c r="G319" s="77"/>
      <c r="H319" s="74"/>
      <c r="I319" s="78">
        <f>IF([1]DADOS!G300="","",[1]DADOS!G300)</f>
      </c>
      <c r="J319" s="73">
        <f>IF([1]DADOS!I300="MONOFÁSICO","X","")</f>
      </c>
      <c r="K319" s="73">
        <f>IF([1]DADOS!I300="BIFÁSICO","X","")</f>
      </c>
      <c r="L319" s="73">
        <f>IF([1]DADOS!I300="TRIFÁSICO","X","")</f>
      </c>
      <c r="M319" s="73">
        <f>IF([1]DADOS!H300="5M","X","")</f>
      </c>
      <c r="N319" s="73">
        <f>IF([1]DADOS!H300="7M","X","")</f>
      </c>
      <c r="O319" s="73">
        <f>IF([1]DADOS!H300="PP","X","")</f>
      </c>
      <c r="P319" s="73"/>
      <c r="Q319" s="73"/>
      <c r="R319" s="73"/>
      <c r="S319" s="79"/>
      <c r="T319" s="80"/>
      <c r="U319" s="78">
        <f>IF([1]DADOS!F300="","",[1]DADOS!F300)</f>
      </c>
      <c r="V319" s="81">
        <f>IF(C319="","",[1]DADOS!$D$8)</f>
      </c>
    </row>
    <row r="320" ht="21" customHeight="1" spans="2:22" x14ac:dyDescent="0.25">
      <c r="B320" s="73">
        <v>291</v>
      </c>
      <c r="C320" s="74">
        <f>IF([1]DADOS!D301="","",[1]DADOS!D301)</f>
      </c>
      <c r="D320" s="75"/>
      <c r="E320" s="76"/>
      <c r="F320" s="76"/>
      <c r="G320" s="77"/>
      <c r="H320" s="74"/>
      <c r="I320" s="78">
        <f>IF([1]DADOS!G301="","",[1]DADOS!G301)</f>
      </c>
      <c r="J320" s="73">
        <f>IF([1]DADOS!I301="MONOFÁSICO","X","")</f>
      </c>
      <c r="K320" s="73">
        <f>IF([1]DADOS!I301="BIFÁSICO","X","")</f>
      </c>
      <c r="L320" s="73">
        <f>IF([1]DADOS!I301="TRIFÁSICO","X","")</f>
      </c>
      <c r="M320" s="73">
        <f>IF([1]DADOS!H301="5M","X","")</f>
      </c>
      <c r="N320" s="73">
        <f>IF([1]DADOS!H301="7M","X","")</f>
      </c>
      <c r="O320" s="73">
        <f>IF([1]DADOS!H301="PP","X","")</f>
      </c>
      <c r="P320" s="73"/>
      <c r="Q320" s="73"/>
      <c r="R320" s="73"/>
      <c r="S320" s="79"/>
      <c r="T320" s="80"/>
      <c r="U320" s="78">
        <f>IF([1]DADOS!F301="","",[1]DADOS!F301)</f>
      </c>
      <c r="V320" s="81">
        <f>IF(C320="","",[1]DADOS!$D$8)</f>
      </c>
    </row>
    <row r="321" ht="21" customHeight="1" spans="2:22" x14ac:dyDescent="0.25">
      <c r="B321" s="73">
        <v>292</v>
      </c>
      <c r="C321" s="74">
        <f>IF([1]DADOS!D302="","",[1]DADOS!D302)</f>
      </c>
      <c r="D321" s="75"/>
      <c r="E321" s="76"/>
      <c r="F321" s="76"/>
      <c r="G321" s="77"/>
      <c r="H321" s="74"/>
      <c r="I321" s="78">
        <f>IF([1]DADOS!G302="","",[1]DADOS!G302)</f>
      </c>
      <c r="J321" s="73">
        <f>IF([1]DADOS!I302="MONOFÁSICO","X","")</f>
      </c>
      <c r="K321" s="73">
        <f>IF([1]DADOS!I302="BIFÁSICO","X","")</f>
      </c>
      <c r="L321" s="73">
        <f>IF([1]DADOS!I302="TRIFÁSICO","X","")</f>
      </c>
      <c r="M321" s="73">
        <f>IF([1]DADOS!H302="5M","X","")</f>
      </c>
      <c r="N321" s="73">
        <f>IF([1]DADOS!H302="7M","X","")</f>
      </c>
      <c r="O321" s="73">
        <f>IF([1]DADOS!H302="PP","X","")</f>
      </c>
      <c r="P321" s="73"/>
      <c r="Q321" s="73"/>
      <c r="R321" s="73"/>
      <c r="S321" s="79"/>
      <c r="T321" s="80"/>
      <c r="U321" s="78">
        <f>IF([1]DADOS!F302="","",[1]DADOS!F302)</f>
      </c>
      <c r="V321" s="81">
        <f>IF(C321="","",[1]DADOS!$D$8)</f>
      </c>
    </row>
    <row r="322" ht="21" customHeight="1" spans="2:22" x14ac:dyDescent="0.25">
      <c r="B322" s="73">
        <v>293</v>
      </c>
      <c r="C322" s="74">
        <f>IF([1]DADOS!D303="","",[1]DADOS!D303)</f>
      </c>
      <c r="D322" s="75"/>
      <c r="E322" s="76"/>
      <c r="F322" s="76"/>
      <c r="G322" s="77"/>
      <c r="H322" s="74"/>
      <c r="I322" s="78">
        <f>IF([1]DADOS!G303="","",[1]DADOS!G303)</f>
      </c>
      <c r="J322" s="73">
        <f>IF([1]DADOS!I303="MONOFÁSICO","X","")</f>
      </c>
      <c r="K322" s="73">
        <f>IF([1]DADOS!I303="BIFÁSICO","X","")</f>
      </c>
      <c r="L322" s="73">
        <f>IF([1]DADOS!I303="TRIFÁSICO","X","")</f>
      </c>
      <c r="M322" s="73">
        <f>IF([1]DADOS!H303="5M","X","")</f>
      </c>
      <c r="N322" s="73">
        <f>IF([1]DADOS!H303="7M","X","")</f>
      </c>
      <c r="O322" s="73">
        <f>IF([1]DADOS!H303="PP","X","")</f>
      </c>
      <c r="P322" s="73"/>
      <c r="Q322" s="73"/>
      <c r="R322" s="73"/>
      <c r="S322" s="79"/>
      <c r="T322" s="80"/>
      <c r="U322" s="78">
        <f>IF([1]DADOS!F303="","",[1]DADOS!F303)</f>
      </c>
      <c r="V322" s="81">
        <f>IF(C322="","",[1]DADOS!$D$8)</f>
      </c>
    </row>
    <row r="323" ht="21" customHeight="1" spans="2:22" x14ac:dyDescent="0.25">
      <c r="B323" s="73">
        <v>294</v>
      </c>
      <c r="C323" s="74">
        <f>IF([1]DADOS!D304="","",[1]DADOS!D304)</f>
      </c>
      <c r="D323" s="75"/>
      <c r="E323" s="76"/>
      <c r="F323" s="76"/>
      <c r="G323" s="77"/>
      <c r="H323" s="74"/>
      <c r="I323" s="78">
        <f>IF([1]DADOS!G304="","",[1]DADOS!G304)</f>
      </c>
      <c r="J323" s="73">
        <f>IF([1]DADOS!I304="MONOFÁSICO","X","")</f>
      </c>
      <c r="K323" s="73">
        <f>IF([1]DADOS!I304="BIFÁSICO","X","")</f>
      </c>
      <c r="L323" s="73">
        <f>IF([1]DADOS!I304="TRIFÁSICO","X","")</f>
      </c>
      <c r="M323" s="73">
        <f>IF([1]DADOS!H304="5M","X","")</f>
      </c>
      <c r="N323" s="73">
        <f>IF([1]DADOS!H304="7M","X","")</f>
      </c>
      <c r="O323" s="73">
        <f>IF([1]DADOS!H304="PP","X","")</f>
      </c>
      <c r="P323" s="73"/>
      <c r="Q323" s="73"/>
      <c r="R323" s="73"/>
      <c r="S323" s="79"/>
      <c r="T323" s="80"/>
      <c r="U323" s="78">
        <f>IF([1]DADOS!F304="","",[1]DADOS!F304)</f>
      </c>
      <c r="V323" s="81">
        <f>IF(C323="","",[1]DADOS!$D$8)</f>
      </c>
    </row>
    <row r="324" ht="21" customHeight="1" spans="2:22" x14ac:dyDescent="0.25">
      <c r="B324" s="73">
        <v>295</v>
      </c>
      <c r="C324" s="74">
        <f>IF([1]DADOS!D305="","",[1]DADOS!D305)</f>
      </c>
      <c r="D324" s="75"/>
      <c r="E324" s="76"/>
      <c r="F324" s="76"/>
      <c r="G324" s="77"/>
      <c r="H324" s="74"/>
      <c r="I324" s="78">
        <f>IF([1]DADOS!G305="","",[1]DADOS!G305)</f>
      </c>
      <c r="J324" s="73">
        <f>IF([1]DADOS!I305="MONOFÁSICO","X","")</f>
      </c>
      <c r="K324" s="73">
        <f>IF([1]DADOS!I305="BIFÁSICO","X","")</f>
      </c>
      <c r="L324" s="73">
        <f>IF([1]DADOS!I305="TRIFÁSICO","X","")</f>
      </c>
      <c r="M324" s="73">
        <f>IF([1]DADOS!H305="5M","X","")</f>
      </c>
      <c r="N324" s="73">
        <f>IF([1]DADOS!H305="7M","X","")</f>
      </c>
      <c r="O324" s="73">
        <f>IF([1]DADOS!H305="PP","X","")</f>
      </c>
      <c r="P324" s="73"/>
      <c r="Q324" s="73"/>
      <c r="R324" s="73"/>
      <c r="S324" s="79"/>
      <c r="T324" s="80"/>
      <c r="U324" s="78">
        <f>IF([1]DADOS!F305="","",[1]DADOS!F305)</f>
      </c>
      <c r="V324" s="81">
        <f>IF(C324="","",[1]DADOS!$D$8)</f>
      </c>
    </row>
    <row r="325" ht="21" customHeight="1" spans="2:22" x14ac:dyDescent="0.25">
      <c r="B325" s="73">
        <v>296</v>
      </c>
      <c r="C325" s="74">
        <f>IF([1]DADOS!D306="","",[1]DADOS!D306)</f>
      </c>
      <c r="D325" s="75"/>
      <c r="E325" s="76"/>
      <c r="F325" s="76"/>
      <c r="G325" s="77"/>
      <c r="H325" s="74"/>
      <c r="I325" s="78">
        <f>IF([1]DADOS!G306="","",[1]DADOS!G306)</f>
      </c>
      <c r="J325" s="73">
        <f>IF([1]DADOS!I306="MONOFÁSICO","X","")</f>
      </c>
      <c r="K325" s="73">
        <f>IF([1]DADOS!I306="BIFÁSICO","X","")</f>
      </c>
      <c r="L325" s="73">
        <f>IF([1]DADOS!I306="TRIFÁSICO","X","")</f>
      </c>
      <c r="M325" s="73">
        <f>IF([1]DADOS!H306="5M","X","")</f>
      </c>
      <c r="N325" s="73">
        <f>IF([1]DADOS!H306="7M","X","")</f>
      </c>
      <c r="O325" s="73">
        <f>IF([1]DADOS!H306="PP","X","")</f>
      </c>
      <c r="P325" s="73"/>
      <c r="Q325" s="73"/>
      <c r="R325" s="73"/>
      <c r="S325" s="79"/>
      <c r="T325" s="80"/>
      <c r="U325" s="78">
        <f>IF([1]DADOS!F306="","",[1]DADOS!F306)</f>
      </c>
      <c r="V325" s="81">
        <f>IF(C325="","",[1]DADOS!$D$8)</f>
      </c>
    </row>
    <row r="326" ht="21" customHeight="1" spans="2:22" x14ac:dyDescent="0.25">
      <c r="B326" s="73">
        <v>297</v>
      </c>
      <c r="C326" s="74">
        <f>IF([1]DADOS!D307="","",[1]DADOS!D307)</f>
      </c>
      <c r="D326" s="75"/>
      <c r="E326" s="76"/>
      <c r="F326" s="76"/>
      <c r="G326" s="77"/>
      <c r="H326" s="74"/>
      <c r="I326" s="78">
        <f>IF([1]DADOS!G307="","",[1]DADOS!G307)</f>
      </c>
      <c r="J326" s="73">
        <f>IF([1]DADOS!I307="MONOFÁSICO","X","")</f>
      </c>
      <c r="K326" s="73">
        <f>IF([1]DADOS!I307="BIFÁSICO","X","")</f>
      </c>
      <c r="L326" s="73">
        <f>IF([1]DADOS!I307="TRIFÁSICO","X","")</f>
      </c>
      <c r="M326" s="73">
        <f>IF([1]DADOS!H307="5M","X","")</f>
      </c>
      <c r="N326" s="73">
        <f>IF([1]DADOS!H307="7M","X","")</f>
      </c>
      <c r="O326" s="73">
        <f>IF([1]DADOS!H307="PP","X","")</f>
      </c>
      <c r="P326" s="73"/>
      <c r="Q326" s="73"/>
      <c r="R326" s="73"/>
      <c r="S326" s="79"/>
      <c r="T326" s="80"/>
      <c r="U326" s="78">
        <f>IF([1]DADOS!F307="","",[1]DADOS!F307)</f>
      </c>
      <c r="V326" s="81">
        <f>IF(C326="","",[1]DADOS!$D$8)</f>
      </c>
    </row>
    <row r="327" ht="21" customHeight="1" spans="2:22" x14ac:dyDescent="0.25">
      <c r="B327" s="73">
        <v>298</v>
      </c>
      <c r="C327" s="74">
        <f>IF([1]DADOS!D308="","",[1]DADOS!D308)</f>
      </c>
      <c r="D327" s="75"/>
      <c r="E327" s="76"/>
      <c r="F327" s="76"/>
      <c r="G327" s="77"/>
      <c r="H327" s="74"/>
      <c r="I327" s="78">
        <f>IF([1]DADOS!G308="","",[1]DADOS!G308)</f>
      </c>
      <c r="J327" s="73">
        <f>IF([1]DADOS!I308="MONOFÁSICO","X","")</f>
      </c>
      <c r="K327" s="73">
        <f>IF([1]DADOS!I308="BIFÁSICO","X","")</f>
      </c>
      <c r="L327" s="73">
        <f>IF([1]DADOS!I308="TRIFÁSICO","X","")</f>
      </c>
      <c r="M327" s="73">
        <f>IF([1]DADOS!H308="5M","X","")</f>
      </c>
      <c r="N327" s="73">
        <f>IF([1]DADOS!H308="7M","X","")</f>
      </c>
      <c r="O327" s="73">
        <f>IF([1]DADOS!H308="PP","X","")</f>
      </c>
      <c r="P327" s="73"/>
      <c r="Q327" s="73"/>
      <c r="R327" s="73"/>
      <c r="S327" s="79"/>
      <c r="T327" s="80"/>
      <c r="U327" s="78">
        <f>IF([1]DADOS!F308="","",[1]DADOS!F308)</f>
      </c>
      <c r="V327" s="81">
        <f>IF(C327="","",[1]DADOS!$D$8)</f>
      </c>
    </row>
    <row r="328" ht="21" customHeight="1" spans="2:22" x14ac:dyDescent="0.25">
      <c r="B328" s="73">
        <v>299</v>
      </c>
      <c r="C328" s="74">
        <f>IF([1]DADOS!D309="","",[1]DADOS!D309)</f>
      </c>
      <c r="D328" s="75"/>
      <c r="E328" s="76"/>
      <c r="F328" s="76"/>
      <c r="G328" s="77"/>
      <c r="H328" s="74"/>
      <c r="I328" s="78">
        <f>IF([1]DADOS!G309="","",[1]DADOS!G309)</f>
      </c>
      <c r="J328" s="73">
        <f>IF([1]DADOS!I309="MONOFÁSICO","X","")</f>
      </c>
      <c r="K328" s="73">
        <f>IF([1]DADOS!I309="BIFÁSICO","X","")</f>
      </c>
      <c r="L328" s="73">
        <f>IF([1]DADOS!I309="TRIFÁSICO","X","")</f>
      </c>
      <c r="M328" s="73">
        <f>IF([1]DADOS!H309="5M","X","")</f>
      </c>
      <c r="N328" s="73">
        <f>IF([1]DADOS!H309="7M","X","")</f>
      </c>
      <c r="O328" s="73">
        <f>IF([1]DADOS!H309="PP","X","")</f>
      </c>
      <c r="P328" s="73"/>
      <c r="Q328" s="73"/>
      <c r="R328" s="73"/>
      <c r="S328" s="79"/>
      <c r="T328" s="80"/>
      <c r="U328" s="78">
        <f>IF([1]DADOS!F309="","",[1]DADOS!F309)</f>
      </c>
      <c r="V328" s="81">
        <f>IF(C328="","",[1]DADOS!$D$8)</f>
      </c>
    </row>
    <row r="329" ht="21" customHeight="1" spans="2:22" x14ac:dyDescent="0.25">
      <c r="B329" s="73">
        <v>300</v>
      </c>
      <c r="C329" s="74">
        <f>IF([1]DADOS!D310="","",[1]DADOS!D310)</f>
      </c>
      <c r="D329" s="75"/>
      <c r="E329" s="76"/>
      <c r="F329" s="76"/>
      <c r="G329" s="77"/>
      <c r="H329" s="74"/>
      <c r="I329" s="78">
        <f>IF([1]DADOS!G310="","",[1]DADOS!G310)</f>
      </c>
      <c r="J329" s="73">
        <f>IF([1]DADOS!I310="MONOFÁSICO","X","")</f>
      </c>
      <c r="K329" s="73">
        <f>IF([1]DADOS!I310="BIFÁSICO","X","")</f>
      </c>
      <c r="L329" s="73">
        <f>IF([1]DADOS!I310="TRIFÁSICO","X","")</f>
      </c>
      <c r="M329" s="73">
        <f>IF([1]DADOS!H310="5M","X","")</f>
      </c>
      <c r="N329" s="73">
        <f>IF([1]DADOS!H310="7M","X","")</f>
      </c>
      <c r="O329" s="73">
        <f>IF([1]DADOS!H310="PP","X","")</f>
      </c>
      <c r="P329" s="73"/>
      <c r="Q329" s="73"/>
      <c r="R329" s="73"/>
      <c r="S329" s="79"/>
      <c r="T329" s="80"/>
      <c r="U329" s="78">
        <f>IF([1]DADOS!F310="","",[1]DADOS!F310)</f>
      </c>
      <c r="V329" s="81">
        <f>IF(C329="","",[1]DADOS!$D$8)</f>
      </c>
    </row>
    <row r="330" ht="21" customHeight="1" spans="2:22" x14ac:dyDescent="0.25">
      <c r="B330" s="73">
        <v>301</v>
      </c>
      <c r="C330" s="74">
        <f>IF([1]DADOS!D311="","",[1]DADOS!D311)</f>
      </c>
      <c r="D330" s="75"/>
      <c r="E330" s="76"/>
      <c r="F330" s="76"/>
      <c r="G330" s="77"/>
      <c r="H330" s="74"/>
      <c r="I330" s="78">
        <f>IF([1]DADOS!G311="","",[1]DADOS!G311)</f>
      </c>
      <c r="J330" s="73">
        <f>IF([1]DADOS!I311="MONOFÁSICO","X","")</f>
      </c>
      <c r="K330" s="73">
        <f>IF([1]DADOS!I311="BIFÁSICO","X","")</f>
      </c>
      <c r="L330" s="73">
        <f>IF([1]DADOS!I311="TRIFÁSICO","X","")</f>
      </c>
      <c r="M330" s="73">
        <f>IF([1]DADOS!H311="5M","X","")</f>
      </c>
      <c r="N330" s="73">
        <f>IF([1]DADOS!H311="7M","X","")</f>
      </c>
      <c r="O330" s="73">
        <f>IF([1]DADOS!H311="PP","X","")</f>
      </c>
      <c r="P330" s="73"/>
      <c r="Q330" s="73"/>
      <c r="R330" s="73"/>
      <c r="S330" s="79"/>
      <c r="T330" s="80"/>
      <c r="U330" s="78">
        <f>IF([1]DADOS!F311="","",[1]DADOS!F311)</f>
      </c>
      <c r="V330" s="81">
        <f>IF(C330="","",[1]DADOS!$D$8)</f>
      </c>
    </row>
    <row r="331" ht="21" customHeight="1" spans="2:22" x14ac:dyDescent="0.25">
      <c r="B331" s="73">
        <v>302</v>
      </c>
      <c r="C331" s="74">
        <f>IF([1]DADOS!D312="","",[1]DADOS!D312)</f>
      </c>
      <c r="D331" s="75"/>
      <c r="E331" s="76"/>
      <c r="F331" s="76"/>
      <c r="G331" s="77"/>
      <c r="H331" s="74"/>
      <c r="I331" s="78">
        <f>IF([1]DADOS!G312="","",[1]DADOS!G312)</f>
      </c>
      <c r="J331" s="73">
        <f>IF([1]DADOS!I312="MONOFÁSICO","X","")</f>
      </c>
      <c r="K331" s="73">
        <f>IF([1]DADOS!I312="BIFÁSICO","X","")</f>
      </c>
      <c r="L331" s="73">
        <f>IF([1]DADOS!I312="TRIFÁSICO","X","")</f>
      </c>
      <c r="M331" s="73">
        <f>IF([1]DADOS!H312="5M","X","")</f>
      </c>
      <c r="N331" s="73">
        <f>IF([1]DADOS!H312="7M","X","")</f>
      </c>
      <c r="O331" s="73">
        <f>IF([1]DADOS!H312="PP","X","")</f>
      </c>
      <c r="P331" s="73"/>
      <c r="Q331" s="73"/>
      <c r="R331" s="73"/>
      <c r="S331" s="79"/>
      <c r="T331" s="80"/>
      <c r="U331" s="78">
        <f>IF([1]DADOS!F312="","",[1]DADOS!F312)</f>
      </c>
      <c r="V331" s="81">
        <f>IF(C331="","",[1]DADOS!$D$8)</f>
      </c>
    </row>
    <row r="332" ht="21" customHeight="1" spans="2:22" x14ac:dyDescent="0.25">
      <c r="B332" s="73">
        <v>303</v>
      </c>
      <c r="C332" s="74">
        <f>IF([1]DADOS!D313="","",[1]DADOS!D313)</f>
      </c>
      <c r="D332" s="75"/>
      <c r="E332" s="76"/>
      <c r="F332" s="76"/>
      <c r="G332" s="77"/>
      <c r="H332" s="74"/>
      <c r="I332" s="78">
        <f>IF([1]DADOS!G313="","",[1]DADOS!G313)</f>
      </c>
      <c r="J332" s="73">
        <f>IF([1]DADOS!I313="MONOFÁSICO","X","")</f>
      </c>
      <c r="K332" s="73">
        <f>IF([1]DADOS!I313="BIFÁSICO","X","")</f>
      </c>
      <c r="L332" s="73">
        <f>IF([1]DADOS!I313="TRIFÁSICO","X","")</f>
      </c>
      <c r="M332" s="73">
        <f>IF([1]DADOS!H313="5M","X","")</f>
      </c>
      <c r="N332" s="73">
        <f>IF([1]DADOS!H313="7M","X","")</f>
      </c>
      <c r="O332" s="73">
        <f>IF([1]DADOS!H313="PP","X","")</f>
      </c>
      <c r="P332" s="73"/>
      <c r="Q332" s="73"/>
      <c r="R332" s="73"/>
      <c r="S332" s="79"/>
      <c r="T332" s="80"/>
      <c r="U332" s="78">
        <f>IF([1]DADOS!F313="","",[1]DADOS!F313)</f>
      </c>
      <c r="V332" s="81">
        <f>IF(C332="","",[1]DADOS!$D$8)</f>
      </c>
    </row>
    <row r="333" ht="21" customHeight="1" spans="2:22" x14ac:dyDescent="0.25">
      <c r="B333" s="73">
        <v>304</v>
      </c>
      <c r="C333" s="74">
        <f>IF([1]DADOS!D314="","",[1]DADOS!D314)</f>
      </c>
      <c r="D333" s="75"/>
      <c r="E333" s="76"/>
      <c r="F333" s="76"/>
      <c r="G333" s="77"/>
      <c r="H333" s="74"/>
      <c r="I333" s="78">
        <f>IF([1]DADOS!G314="","",[1]DADOS!G314)</f>
      </c>
      <c r="J333" s="73">
        <f>IF([1]DADOS!I314="MONOFÁSICO","X","")</f>
      </c>
      <c r="K333" s="73">
        <f>IF([1]DADOS!I314="BIFÁSICO","X","")</f>
      </c>
      <c r="L333" s="73">
        <f>IF([1]DADOS!I314="TRIFÁSICO","X","")</f>
      </c>
      <c r="M333" s="73">
        <f>IF([1]DADOS!H314="5M","X","")</f>
      </c>
      <c r="N333" s="73">
        <f>IF([1]DADOS!H314="7M","X","")</f>
      </c>
      <c r="O333" s="73">
        <f>IF([1]DADOS!H314="PP","X","")</f>
      </c>
      <c r="P333" s="73"/>
      <c r="Q333" s="73"/>
      <c r="R333" s="73"/>
      <c r="S333" s="79"/>
      <c r="T333" s="80"/>
      <c r="U333" s="78">
        <f>IF([1]DADOS!F314="","",[1]DADOS!F314)</f>
      </c>
      <c r="V333" s="81">
        <f>IF(C333="","",[1]DADOS!$D$8)</f>
      </c>
    </row>
    <row r="334" ht="21" customHeight="1" spans="2:22" x14ac:dyDescent="0.25">
      <c r="B334" s="73">
        <v>305</v>
      </c>
      <c r="C334" s="74">
        <f>IF([1]DADOS!D315="","",[1]DADOS!D315)</f>
      </c>
      <c r="D334" s="75"/>
      <c r="E334" s="76"/>
      <c r="F334" s="76"/>
      <c r="G334" s="77"/>
      <c r="H334" s="74"/>
      <c r="I334" s="78">
        <f>IF([1]DADOS!G315="","",[1]DADOS!G315)</f>
      </c>
      <c r="J334" s="73">
        <f>IF([1]DADOS!I315="MONOFÁSICO","X","")</f>
      </c>
      <c r="K334" s="73">
        <f>IF([1]DADOS!I315="BIFÁSICO","X","")</f>
      </c>
      <c r="L334" s="73">
        <f>IF([1]DADOS!I315="TRIFÁSICO","X","")</f>
      </c>
      <c r="M334" s="73">
        <f>IF([1]DADOS!H315="5M","X","")</f>
      </c>
      <c r="N334" s="73">
        <f>IF([1]DADOS!H315="7M","X","")</f>
      </c>
      <c r="O334" s="73">
        <f>IF([1]DADOS!H315="PP","X","")</f>
      </c>
      <c r="P334" s="73"/>
      <c r="Q334" s="73"/>
      <c r="R334" s="73"/>
      <c r="S334" s="79"/>
      <c r="T334" s="80"/>
      <c r="U334" s="78">
        <f>IF([1]DADOS!F315="","",[1]DADOS!F315)</f>
      </c>
      <c r="V334" s="81">
        <f>IF(C334="","",[1]DADOS!$D$8)</f>
      </c>
    </row>
    <row r="335" ht="21" customHeight="1" spans="2:22" x14ac:dyDescent="0.25">
      <c r="B335" s="73">
        <v>306</v>
      </c>
      <c r="C335" s="74">
        <f>IF([1]DADOS!D316="","",[1]DADOS!D316)</f>
      </c>
      <c r="D335" s="75"/>
      <c r="E335" s="76"/>
      <c r="F335" s="76"/>
      <c r="G335" s="77"/>
      <c r="H335" s="74"/>
      <c r="I335" s="78">
        <f>IF([1]DADOS!G316="","",[1]DADOS!G316)</f>
      </c>
      <c r="J335" s="73">
        <f>IF([1]DADOS!I316="MONOFÁSICO","X","")</f>
      </c>
      <c r="K335" s="73">
        <f>IF([1]DADOS!I316="BIFÁSICO","X","")</f>
      </c>
      <c r="L335" s="73">
        <f>IF([1]DADOS!I316="TRIFÁSICO","X","")</f>
      </c>
      <c r="M335" s="73">
        <f>IF([1]DADOS!H316="5M","X","")</f>
      </c>
      <c r="N335" s="73">
        <f>IF([1]DADOS!H316="7M","X","")</f>
      </c>
      <c r="O335" s="73">
        <f>IF([1]DADOS!H316="PP","X","")</f>
      </c>
      <c r="P335" s="73"/>
      <c r="Q335" s="73"/>
      <c r="R335" s="73"/>
      <c r="S335" s="79"/>
      <c r="T335" s="80"/>
      <c r="U335" s="78">
        <f>IF([1]DADOS!F316="","",[1]DADOS!F316)</f>
      </c>
      <c r="V335" s="81">
        <f>IF(C335="","",[1]DADOS!$D$8)</f>
      </c>
    </row>
    <row r="336" ht="21" customHeight="1" spans="2:22" x14ac:dyDescent="0.25">
      <c r="B336" s="73">
        <v>307</v>
      </c>
      <c r="C336" s="74">
        <f>IF([1]DADOS!D317="","",[1]DADOS!D317)</f>
      </c>
      <c r="D336" s="75"/>
      <c r="E336" s="76"/>
      <c r="F336" s="76"/>
      <c r="G336" s="77"/>
      <c r="H336" s="74"/>
      <c r="I336" s="78">
        <f>IF([1]DADOS!G317="","",[1]DADOS!G317)</f>
      </c>
      <c r="J336" s="73">
        <f>IF([1]DADOS!I317="MONOFÁSICO","X","")</f>
      </c>
      <c r="K336" s="73">
        <f>IF([1]DADOS!I317="BIFÁSICO","X","")</f>
      </c>
      <c r="L336" s="73">
        <f>IF([1]DADOS!I317="TRIFÁSICO","X","")</f>
      </c>
      <c r="M336" s="73">
        <f>IF([1]DADOS!H317="5M","X","")</f>
      </c>
      <c r="N336" s="73">
        <f>IF([1]DADOS!H317="7M","X","")</f>
      </c>
      <c r="O336" s="73">
        <f>IF([1]DADOS!H317="PP","X","")</f>
      </c>
      <c r="P336" s="73"/>
      <c r="Q336" s="73"/>
      <c r="R336" s="73"/>
      <c r="S336" s="79"/>
      <c r="T336" s="80"/>
      <c r="U336" s="78">
        <f>IF([1]DADOS!F317="","",[1]DADOS!F317)</f>
      </c>
      <c r="V336" s="81">
        <f>IF(C336="","",[1]DADOS!$D$8)</f>
      </c>
    </row>
    <row r="337" ht="21" customHeight="1" spans="2:22" x14ac:dyDescent="0.25">
      <c r="B337" s="73">
        <v>308</v>
      </c>
      <c r="C337" s="74">
        <f>IF([1]DADOS!D318="","",[1]DADOS!D318)</f>
      </c>
      <c r="D337" s="75"/>
      <c r="E337" s="76"/>
      <c r="F337" s="76"/>
      <c r="G337" s="77"/>
      <c r="H337" s="74"/>
      <c r="I337" s="78">
        <f>IF([1]DADOS!G318="","",[1]DADOS!G318)</f>
      </c>
      <c r="J337" s="73">
        <f>IF([1]DADOS!I318="MONOFÁSICO","X","")</f>
      </c>
      <c r="K337" s="73">
        <f>IF([1]DADOS!I318="BIFÁSICO","X","")</f>
      </c>
      <c r="L337" s="73">
        <f>IF([1]DADOS!I318="TRIFÁSICO","X","")</f>
      </c>
      <c r="M337" s="73">
        <f>IF([1]DADOS!H318="5M","X","")</f>
      </c>
      <c r="N337" s="73">
        <f>IF([1]DADOS!H318="7M","X","")</f>
      </c>
      <c r="O337" s="73">
        <f>IF([1]DADOS!H318="PP","X","")</f>
      </c>
      <c r="P337" s="73"/>
      <c r="Q337" s="73"/>
      <c r="R337" s="73"/>
      <c r="S337" s="79"/>
      <c r="T337" s="80"/>
      <c r="U337" s="78">
        <f>IF([1]DADOS!F318="","",[1]DADOS!F318)</f>
      </c>
      <c r="V337" s="81">
        <f>IF(C337="","",[1]DADOS!$D$8)</f>
      </c>
    </row>
    <row r="338" ht="21" customHeight="1" spans="2:22" x14ac:dyDescent="0.25">
      <c r="B338" s="73">
        <v>309</v>
      </c>
      <c r="C338" s="74">
        <f>IF([1]DADOS!D319="","",[1]DADOS!D319)</f>
      </c>
      <c r="D338" s="75"/>
      <c r="E338" s="76"/>
      <c r="F338" s="76"/>
      <c r="G338" s="77"/>
      <c r="H338" s="74"/>
      <c r="I338" s="78">
        <f>IF([1]DADOS!G319="","",[1]DADOS!G319)</f>
      </c>
      <c r="J338" s="73">
        <f>IF([1]DADOS!I319="MONOFÁSICO","X","")</f>
      </c>
      <c r="K338" s="73">
        <f>IF([1]DADOS!I319="BIFÁSICO","X","")</f>
      </c>
      <c r="L338" s="73">
        <f>IF([1]DADOS!I319="TRIFÁSICO","X","")</f>
      </c>
      <c r="M338" s="73">
        <f>IF([1]DADOS!H319="5M","X","")</f>
      </c>
      <c r="N338" s="73">
        <f>IF([1]DADOS!H319="7M","X","")</f>
      </c>
      <c r="O338" s="73">
        <f>IF([1]DADOS!H319="PP","X","")</f>
      </c>
      <c r="P338" s="73"/>
      <c r="Q338" s="73"/>
      <c r="R338" s="73"/>
      <c r="S338" s="79"/>
      <c r="T338" s="80"/>
      <c r="U338" s="78">
        <f>IF([1]DADOS!F319="","",[1]DADOS!F319)</f>
      </c>
      <c r="V338" s="81">
        <f>IF(C338="","",[1]DADOS!$D$8)</f>
      </c>
    </row>
    <row r="339" ht="21" customHeight="1" spans="2:22" x14ac:dyDescent="0.25">
      <c r="B339" s="73">
        <v>310</v>
      </c>
      <c r="C339" s="74">
        <f>IF([1]DADOS!D320="","",[1]DADOS!D320)</f>
      </c>
      <c r="D339" s="75"/>
      <c r="E339" s="76"/>
      <c r="F339" s="76"/>
      <c r="G339" s="77"/>
      <c r="H339" s="74"/>
      <c r="I339" s="78">
        <f>IF([1]DADOS!G320="","",[1]DADOS!G320)</f>
      </c>
      <c r="J339" s="73">
        <f>IF([1]DADOS!I320="MONOFÁSICO","X","")</f>
      </c>
      <c r="K339" s="73">
        <f>IF([1]DADOS!I320="BIFÁSICO","X","")</f>
      </c>
      <c r="L339" s="73">
        <f>IF([1]DADOS!I320="TRIFÁSICO","X","")</f>
      </c>
      <c r="M339" s="73">
        <f>IF([1]DADOS!H320="5M","X","")</f>
      </c>
      <c r="N339" s="73">
        <f>IF([1]DADOS!H320="7M","X","")</f>
      </c>
      <c r="O339" s="73">
        <f>IF([1]DADOS!H320="PP","X","")</f>
      </c>
      <c r="P339" s="73"/>
      <c r="Q339" s="73"/>
      <c r="R339" s="73"/>
      <c r="S339" s="79"/>
      <c r="T339" s="80"/>
      <c r="U339" s="78">
        <f>IF([1]DADOS!F320="","",[1]DADOS!F320)</f>
      </c>
      <c r="V339" s="81">
        <f>IF(C339="","",[1]DADOS!$D$8)</f>
      </c>
    </row>
    <row r="340" ht="21" customHeight="1" spans="2:22" x14ac:dyDescent="0.25">
      <c r="B340" s="73">
        <v>311</v>
      </c>
      <c r="C340" s="74">
        <f>IF([1]DADOS!D321="","",[1]DADOS!D321)</f>
      </c>
      <c r="D340" s="75"/>
      <c r="E340" s="76"/>
      <c r="F340" s="76"/>
      <c r="G340" s="77"/>
      <c r="H340" s="74"/>
      <c r="I340" s="78">
        <f>IF([1]DADOS!G321="","",[1]DADOS!G321)</f>
      </c>
      <c r="J340" s="73">
        <f>IF([1]DADOS!I321="MONOFÁSICO","X","")</f>
      </c>
      <c r="K340" s="73">
        <f>IF([1]DADOS!I321="BIFÁSICO","X","")</f>
      </c>
      <c r="L340" s="73">
        <f>IF([1]DADOS!I321="TRIFÁSICO","X","")</f>
      </c>
      <c r="M340" s="73">
        <f>IF([1]DADOS!H321="5M","X","")</f>
      </c>
      <c r="N340" s="73">
        <f>IF([1]DADOS!H321="7M","X","")</f>
      </c>
      <c r="O340" s="73">
        <f>IF([1]DADOS!H321="PP","X","")</f>
      </c>
      <c r="P340" s="73"/>
      <c r="Q340" s="73"/>
      <c r="R340" s="73"/>
      <c r="S340" s="79"/>
      <c r="T340" s="80"/>
      <c r="U340" s="78">
        <f>IF([1]DADOS!F321="","",[1]DADOS!F321)</f>
      </c>
      <c r="V340" s="81">
        <f>IF(C340="","",[1]DADOS!$D$8)</f>
      </c>
    </row>
    <row r="341" ht="21" customHeight="1" spans="2:22" x14ac:dyDescent="0.25">
      <c r="B341" s="73">
        <v>312</v>
      </c>
      <c r="C341" s="74">
        <f>IF([1]DADOS!D322="","",[1]DADOS!D322)</f>
      </c>
      <c r="D341" s="75"/>
      <c r="E341" s="76"/>
      <c r="F341" s="76"/>
      <c r="G341" s="77"/>
      <c r="H341" s="74"/>
      <c r="I341" s="78">
        <f>IF([1]DADOS!G322="","",[1]DADOS!G322)</f>
      </c>
      <c r="J341" s="73">
        <f>IF([1]DADOS!I322="MONOFÁSICO","X","")</f>
      </c>
      <c r="K341" s="73">
        <f>IF([1]DADOS!I322="BIFÁSICO","X","")</f>
      </c>
      <c r="L341" s="73">
        <f>IF([1]DADOS!I322="TRIFÁSICO","X","")</f>
      </c>
      <c r="M341" s="73">
        <f>IF([1]DADOS!H322="5M","X","")</f>
      </c>
      <c r="N341" s="73">
        <f>IF([1]DADOS!H322="7M","X","")</f>
      </c>
      <c r="O341" s="73">
        <f>IF([1]DADOS!H322="PP","X","")</f>
      </c>
      <c r="P341" s="73"/>
      <c r="Q341" s="73"/>
      <c r="R341" s="73"/>
      <c r="S341" s="79"/>
      <c r="T341" s="80"/>
      <c r="U341" s="78">
        <f>IF([1]DADOS!F322="","",[1]DADOS!F322)</f>
      </c>
      <c r="V341" s="81">
        <f>IF(C341="","",[1]DADOS!$D$8)</f>
      </c>
    </row>
    <row r="342" ht="21" customHeight="1" spans="2:22" x14ac:dyDescent="0.25">
      <c r="B342" s="73">
        <v>313</v>
      </c>
      <c r="C342" s="74">
        <f>IF([1]DADOS!D323="","",[1]DADOS!D323)</f>
      </c>
      <c r="D342" s="75"/>
      <c r="E342" s="76"/>
      <c r="F342" s="76"/>
      <c r="G342" s="77"/>
      <c r="H342" s="74"/>
      <c r="I342" s="78">
        <f>IF([1]DADOS!G323="","",[1]DADOS!G323)</f>
      </c>
      <c r="J342" s="73">
        <f>IF([1]DADOS!I323="MONOFÁSICO","X","")</f>
      </c>
      <c r="K342" s="73">
        <f>IF([1]DADOS!I323="BIFÁSICO","X","")</f>
      </c>
      <c r="L342" s="73">
        <f>IF([1]DADOS!I323="TRIFÁSICO","X","")</f>
      </c>
      <c r="M342" s="73">
        <f>IF([1]DADOS!H323="5M","X","")</f>
      </c>
      <c r="N342" s="73">
        <f>IF([1]DADOS!H323="7M","X","")</f>
      </c>
      <c r="O342" s="73">
        <f>IF([1]DADOS!H323="PP","X","")</f>
      </c>
      <c r="P342" s="73"/>
      <c r="Q342" s="73"/>
      <c r="R342" s="73"/>
      <c r="S342" s="79"/>
      <c r="T342" s="80"/>
      <c r="U342" s="78">
        <f>IF([1]DADOS!F323="","",[1]DADOS!F323)</f>
      </c>
      <c r="V342" s="81">
        <f>IF(C342="","",[1]DADOS!$D$8)</f>
      </c>
    </row>
    <row r="343" ht="21" customHeight="1" spans="2:22" x14ac:dyDescent="0.25">
      <c r="B343" s="73">
        <v>314</v>
      </c>
      <c r="C343" s="74">
        <f>IF([1]DADOS!D324="","",[1]DADOS!D324)</f>
      </c>
      <c r="D343" s="75"/>
      <c r="E343" s="76"/>
      <c r="F343" s="76"/>
      <c r="G343" s="77"/>
      <c r="H343" s="74"/>
      <c r="I343" s="78">
        <f>IF([1]DADOS!G324="","",[1]DADOS!G324)</f>
      </c>
      <c r="J343" s="73">
        <f>IF([1]DADOS!I324="MONOFÁSICO","X","")</f>
      </c>
      <c r="K343" s="73">
        <f>IF([1]DADOS!I324="BIFÁSICO","X","")</f>
      </c>
      <c r="L343" s="73">
        <f>IF([1]DADOS!I324="TRIFÁSICO","X","")</f>
      </c>
      <c r="M343" s="73">
        <f>IF([1]DADOS!H324="5M","X","")</f>
      </c>
      <c r="N343" s="73">
        <f>IF([1]DADOS!H324="7M","X","")</f>
      </c>
      <c r="O343" s="73">
        <f>IF([1]DADOS!H324="PP","X","")</f>
      </c>
      <c r="P343" s="73"/>
      <c r="Q343" s="73"/>
      <c r="R343" s="73"/>
      <c r="S343" s="79"/>
      <c r="T343" s="80"/>
      <c r="U343" s="78">
        <f>IF([1]DADOS!F324="","",[1]DADOS!F324)</f>
      </c>
      <c r="V343" s="81">
        <f>IF(C343="","",[1]DADOS!$D$8)</f>
      </c>
    </row>
    <row r="344" ht="21" customHeight="1" spans="2:22" x14ac:dyDescent="0.25">
      <c r="B344" s="73">
        <v>315</v>
      </c>
      <c r="C344" s="74">
        <f>IF([1]DADOS!D325="","",[1]DADOS!D325)</f>
      </c>
      <c r="D344" s="75"/>
      <c r="E344" s="76"/>
      <c r="F344" s="76"/>
      <c r="G344" s="77"/>
      <c r="H344" s="74"/>
      <c r="I344" s="78">
        <f>IF([1]DADOS!G325="","",[1]DADOS!G325)</f>
      </c>
      <c r="J344" s="73">
        <f>IF([1]DADOS!I325="MONOFÁSICO","X","")</f>
      </c>
      <c r="K344" s="73">
        <f>IF([1]DADOS!I325="BIFÁSICO","X","")</f>
      </c>
      <c r="L344" s="73">
        <f>IF([1]DADOS!I325="TRIFÁSICO","X","")</f>
      </c>
      <c r="M344" s="73">
        <f>IF([1]DADOS!H325="5M","X","")</f>
      </c>
      <c r="N344" s="73">
        <f>IF([1]DADOS!H325="7M","X","")</f>
      </c>
      <c r="O344" s="73">
        <f>IF([1]DADOS!H325="PP","X","")</f>
      </c>
      <c r="P344" s="73"/>
      <c r="Q344" s="73"/>
      <c r="R344" s="73"/>
      <c r="S344" s="79"/>
      <c r="T344" s="80"/>
      <c r="U344" s="78">
        <f>IF([1]DADOS!F325="","",[1]DADOS!F325)</f>
      </c>
      <c r="V344" s="81">
        <f>IF(C344="","",[1]DADOS!$D$8)</f>
      </c>
    </row>
    <row r="345" ht="21" customHeight="1" spans="2:22" x14ac:dyDescent="0.25">
      <c r="B345" s="73">
        <v>316</v>
      </c>
      <c r="C345" s="74">
        <f>IF([1]DADOS!D326="","",[1]DADOS!D326)</f>
      </c>
      <c r="D345" s="75"/>
      <c r="E345" s="76"/>
      <c r="F345" s="76"/>
      <c r="G345" s="77"/>
      <c r="H345" s="74"/>
      <c r="I345" s="78">
        <f>IF([1]DADOS!G326="","",[1]DADOS!G326)</f>
      </c>
      <c r="J345" s="73">
        <f>IF([1]DADOS!I326="MONOFÁSICO","X","")</f>
      </c>
      <c r="K345" s="73">
        <f>IF([1]DADOS!I326="BIFÁSICO","X","")</f>
      </c>
      <c r="L345" s="73">
        <f>IF([1]DADOS!I326="TRIFÁSICO","X","")</f>
      </c>
      <c r="M345" s="73">
        <f>IF([1]DADOS!H326="5M","X","")</f>
      </c>
      <c r="N345" s="73">
        <f>IF([1]DADOS!H326="7M","X","")</f>
      </c>
      <c r="O345" s="73">
        <f>IF([1]DADOS!H326="PP","X","")</f>
      </c>
      <c r="P345" s="73"/>
      <c r="Q345" s="73"/>
      <c r="R345" s="73"/>
      <c r="S345" s="79"/>
      <c r="T345" s="80"/>
      <c r="U345" s="78">
        <f>IF([1]DADOS!F326="","",[1]DADOS!F326)</f>
      </c>
      <c r="V345" s="81">
        <f>IF(C345="","",[1]DADOS!$D$8)</f>
      </c>
    </row>
    <row r="346" ht="21" customHeight="1" spans="2:22" x14ac:dyDescent="0.25">
      <c r="B346" s="73">
        <v>317</v>
      </c>
      <c r="C346" s="74">
        <f>IF([1]DADOS!D327="","",[1]DADOS!D327)</f>
      </c>
      <c r="D346" s="75"/>
      <c r="E346" s="76"/>
      <c r="F346" s="76"/>
      <c r="G346" s="77"/>
      <c r="H346" s="74"/>
      <c r="I346" s="78">
        <f>IF([1]DADOS!G327="","",[1]DADOS!G327)</f>
      </c>
      <c r="J346" s="73">
        <f>IF([1]DADOS!I327="MONOFÁSICO","X","")</f>
      </c>
      <c r="K346" s="73">
        <f>IF([1]DADOS!I327="BIFÁSICO","X","")</f>
      </c>
      <c r="L346" s="73">
        <f>IF([1]DADOS!I327="TRIFÁSICO","X","")</f>
      </c>
      <c r="M346" s="73">
        <f>IF([1]DADOS!H327="5M","X","")</f>
      </c>
      <c r="N346" s="73">
        <f>IF([1]DADOS!H327="7M","X","")</f>
      </c>
      <c r="O346" s="73">
        <f>IF([1]DADOS!H327="PP","X","")</f>
      </c>
      <c r="P346" s="73"/>
      <c r="Q346" s="73"/>
      <c r="R346" s="73"/>
      <c r="S346" s="79"/>
      <c r="T346" s="80"/>
      <c r="U346" s="78">
        <f>IF([1]DADOS!F327="","",[1]DADOS!F327)</f>
      </c>
      <c r="V346" s="81">
        <f>IF(C346="","",[1]DADOS!$D$8)</f>
      </c>
    </row>
    <row r="347" ht="21" customHeight="1" spans="2:22" x14ac:dyDescent="0.25">
      <c r="B347" s="73">
        <v>318</v>
      </c>
      <c r="C347" s="74">
        <f>IF([1]DADOS!D328="","",[1]DADOS!D328)</f>
      </c>
      <c r="D347" s="75"/>
      <c r="E347" s="76"/>
      <c r="F347" s="76"/>
      <c r="G347" s="77"/>
      <c r="H347" s="74"/>
      <c r="I347" s="78">
        <f>IF([1]DADOS!G328="","",[1]DADOS!G328)</f>
      </c>
      <c r="J347" s="73">
        <f>IF([1]DADOS!I328="MONOFÁSICO","X","")</f>
      </c>
      <c r="K347" s="73">
        <f>IF([1]DADOS!I328="BIFÁSICO","X","")</f>
      </c>
      <c r="L347" s="73">
        <f>IF([1]DADOS!I328="TRIFÁSICO","X","")</f>
      </c>
      <c r="M347" s="73">
        <f>IF([1]DADOS!H328="5M","X","")</f>
      </c>
      <c r="N347" s="73">
        <f>IF([1]DADOS!H328="7M","X","")</f>
      </c>
      <c r="O347" s="73">
        <f>IF([1]DADOS!H328="PP","X","")</f>
      </c>
      <c r="P347" s="73"/>
      <c r="Q347" s="73"/>
      <c r="R347" s="73"/>
      <c r="S347" s="79"/>
      <c r="T347" s="80"/>
      <c r="U347" s="78">
        <f>IF([1]DADOS!F328="","",[1]DADOS!F328)</f>
      </c>
      <c r="V347" s="81">
        <f>IF(C347="","",[1]DADOS!$D$8)</f>
      </c>
    </row>
    <row r="348" ht="21" customHeight="1" spans="2:22" x14ac:dyDescent="0.25">
      <c r="B348" s="73">
        <v>319</v>
      </c>
      <c r="C348" s="74">
        <f>IF([1]DADOS!D329="","",[1]DADOS!D329)</f>
      </c>
      <c r="D348" s="75"/>
      <c r="E348" s="76"/>
      <c r="F348" s="76"/>
      <c r="G348" s="77"/>
      <c r="H348" s="74"/>
      <c r="I348" s="78">
        <f>IF([1]DADOS!G329="","",[1]DADOS!G329)</f>
      </c>
      <c r="J348" s="73">
        <f>IF([1]DADOS!I329="MONOFÁSICO","X","")</f>
      </c>
      <c r="K348" s="73">
        <f>IF([1]DADOS!I329="BIFÁSICO","X","")</f>
      </c>
      <c r="L348" s="73">
        <f>IF([1]DADOS!I329="TRIFÁSICO","X","")</f>
      </c>
      <c r="M348" s="73">
        <f>IF([1]DADOS!H329="5M","X","")</f>
      </c>
      <c r="N348" s="73">
        <f>IF([1]DADOS!H329="7M","X","")</f>
      </c>
      <c r="O348" s="73">
        <f>IF([1]DADOS!H329="PP","X","")</f>
      </c>
      <c r="P348" s="73"/>
      <c r="Q348" s="73"/>
      <c r="R348" s="73"/>
      <c r="S348" s="79"/>
      <c r="T348" s="80"/>
      <c r="U348" s="78">
        <f>IF([1]DADOS!F329="","",[1]DADOS!F329)</f>
      </c>
      <c r="V348" s="81">
        <f>IF(C348="","",[1]DADOS!$D$8)</f>
      </c>
    </row>
    <row r="349" ht="21" customHeight="1" spans="2:22" x14ac:dyDescent="0.25">
      <c r="B349" s="73">
        <v>320</v>
      </c>
      <c r="C349" s="74">
        <f>IF([1]DADOS!D330="","",[1]DADOS!D330)</f>
      </c>
      <c r="D349" s="75"/>
      <c r="E349" s="76"/>
      <c r="F349" s="76"/>
      <c r="G349" s="77"/>
      <c r="H349" s="74"/>
      <c r="I349" s="78">
        <f>IF([1]DADOS!G330="","",[1]DADOS!G330)</f>
      </c>
      <c r="J349" s="73">
        <f>IF([1]DADOS!I330="MONOFÁSICO","X","")</f>
      </c>
      <c r="K349" s="73">
        <f>IF([1]DADOS!I330="BIFÁSICO","X","")</f>
      </c>
      <c r="L349" s="73">
        <f>IF([1]DADOS!I330="TRIFÁSICO","X","")</f>
      </c>
      <c r="M349" s="73">
        <f>IF([1]DADOS!H330="5M","X","")</f>
      </c>
      <c r="N349" s="73">
        <f>IF([1]DADOS!H330="7M","X","")</f>
      </c>
      <c r="O349" s="73">
        <f>IF([1]DADOS!H330="PP","X","")</f>
      </c>
      <c r="P349" s="73"/>
      <c r="Q349" s="73"/>
      <c r="R349" s="73"/>
      <c r="S349" s="79"/>
      <c r="T349" s="80"/>
      <c r="U349" s="78">
        <f>IF([1]DADOS!F330="","",[1]DADOS!F330)</f>
      </c>
      <c r="V349" s="81">
        <f>IF(C349="","",[1]DADOS!$D$8)</f>
      </c>
    </row>
    <row r="350" ht="21" customHeight="1" spans="2:22" x14ac:dyDescent="0.25">
      <c r="B350" s="73">
        <v>321</v>
      </c>
      <c r="C350" s="74">
        <f>IF([1]DADOS!D331="","",[1]DADOS!D331)</f>
      </c>
      <c r="D350" s="75"/>
      <c r="E350" s="76"/>
      <c r="F350" s="76"/>
      <c r="G350" s="77"/>
      <c r="H350" s="74"/>
      <c r="I350" s="78">
        <f>IF([1]DADOS!G331="","",[1]DADOS!G331)</f>
      </c>
      <c r="J350" s="73">
        <f>IF([1]DADOS!I331="MONOFÁSICO","X","")</f>
      </c>
      <c r="K350" s="73">
        <f>IF([1]DADOS!I331="BIFÁSICO","X","")</f>
      </c>
      <c r="L350" s="73">
        <f>IF([1]DADOS!I331="TRIFÁSICO","X","")</f>
      </c>
      <c r="M350" s="73">
        <f>IF([1]DADOS!H331="5M","X","")</f>
      </c>
      <c r="N350" s="73">
        <f>IF([1]DADOS!H331="7M","X","")</f>
      </c>
      <c r="O350" s="73">
        <f>IF([1]DADOS!H331="PP","X","")</f>
      </c>
      <c r="P350" s="73"/>
      <c r="Q350" s="73"/>
      <c r="R350" s="73"/>
      <c r="S350" s="79"/>
      <c r="T350" s="80"/>
      <c r="U350" s="78">
        <f>IF([1]DADOS!F331="","",[1]DADOS!F331)</f>
      </c>
      <c r="V350" s="81">
        <f>IF(C350="","",[1]DADOS!$D$8)</f>
      </c>
    </row>
    <row r="351" ht="21" customHeight="1" spans="2:22" x14ac:dyDescent="0.25">
      <c r="B351" s="73">
        <v>322</v>
      </c>
      <c r="C351" s="74">
        <f>IF([1]DADOS!D332="","",[1]DADOS!D332)</f>
      </c>
      <c r="D351" s="75"/>
      <c r="E351" s="76"/>
      <c r="F351" s="76"/>
      <c r="G351" s="77"/>
      <c r="H351" s="74"/>
      <c r="I351" s="78">
        <f>IF([1]DADOS!G332="","",[1]DADOS!G332)</f>
      </c>
      <c r="J351" s="73">
        <f>IF([1]DADOS!I332="MONOFÁSICO","X","")</f>
      </c>
      <c r="K351" s="73">
        <f>IF([1]DADOS!I332="BIFÁSICO","X","")</f>
      </c>
      <c r="L351" s="73">
        <f>IF([1]DADOS!I332="TRIFÁSICO","X","")</f>
      </c>
      <c r="M351" s="73">
        <f>IF([1]DADOS!H332="5M","X","")</f>
      </c>
      <c r="N351" s="73">
        <f>IF([1]DADOS!H332="7M","X","")</f>
      </c>
      <c r="O351" s="73">
        <f>IF([1]DADOS!H332="PP","X","")</f>
      </c>
      <c r="P351" s="73"/>
      <c r="Q351" s="73"/>
      <c r="R351" s="73"/>
      <c r="S351" s="79"/>
      <c r="T351" s="80"/>
      <c r="U351" s="78">
        <f>IF([1]DADOS!F332="","",[1]DADOS!F332)</f>
      </c>
      <c r="V351" s="81">
        <f>IF(C351="","",[1]DADOS!$D$8)</f>
      </c>
    </row>
    <row r="352" ht="21" customHeight="1" spans="2:22" x14ac:dyDescent="0.25">
      <c r="B352" s="73">
        <v>323</v>
      </c>
      <c r="C352" s="74">
        <f>IF([1]DADOS!D333="","",[1]DADOS!D333)</f>
      </c>
      <c r="D352" s="75"/>
      <c r="E352" s="76"/>
      <c r="F352" s="76"/>
      <c r="G352" s="77"/>
      <c r="H352" s="74"/>
      <c r="I352" s="78">
        <f>IF([1]DADOS!G333="","",[1]DADOS!G333)</f>
      </c>
      <c r="J352" s="73">
        <f>IF([1]DADOS!I333="MONOFÁSICO","X","")</f>
      </c>
      <c r="K352" s="73">
        <f>IF([1]DADOS!I333="BIFÁSICO","X","")</f>
      </c>
      <c r="L352" s="73">
        <f>IF([1]DADOS!I333="TRIFÁSICO","X","")</f>
      </c>
      <c r="M352" s="73">
        <f>IF([1]DADOS!H333="5M","X","")</f>
      </c>
      <c r="N352" s="73">
        <f>IF([1]DADOS!H333="7M","X","")</f>
      </c>
      <c r="O352" s="73">
        <f>IF([1]DADOS!H333="PP","X","")</f>
      </c>
      <c r="P352" s="73"/>
      <c r="Q352" s="73"/>
      <c r="R352" s="73"/>
      <c r="S352" s="79"/>
      <c r="T352" s="80"/>
      <c r="U352" s="78">
        <f>IF([1]DADOS!F333="","",[1]DADOS!F333)</f>
      </c>
      <c r="V352" s="81">
        <f>IF(C352="","",[1]DADOS!$D$8)</f>
      </c>
    </row>
    <row r="353" ht="21" customHeight="1" spans="2:22" x14ac:dyDescent="0.25">
      <c r="B353" s="73">
        <v>324</v>
      </c>
      <c r="C353" s="74">
        <f>IF([1]DADOS!D334="","",[1]DADOS!D334)</f>
      </c>
      <c r="D353" s="75"/>
      <c r="E353" s="76"/>
      <c r="F353" s="76"/>
      <c r="G353" s="77"/>
      <c r="H353" s="74"/>
      <c r="I353" s="78">
        <f>IF([1]DADOS!G334="","",[1]DADOS!G334)</f>
      </c>
      <c r="J353" s="73">
        <f>IF([1]DADOS!I334="MONOFÁSICO","X","")</f>
      </c>
      <c r="K353" s="73">
        <f>IF([1]DADOS!I334="BIFÁSICO","X","")</f>
      </c>
      <c r="L353" s="73">
        <f>IF([1]DADOS!I334="TRIFÁSICO","X","")</f>
      </c>
      <c r="M353" s="73">
        <f>IF([1]DADOS!H334="5M","X","")</f>
      </c>
      <c r="N353" s="73">
        <f>IF([1]DADOS!H334="7M","X","")</f>
      </c>
      <c r="O353" s="73">
        <f>IF([1]DADOS!H334="PP","X","")</f>
      </c>
      <c r="P353" s="73"/>
      <c r="Q353" s="73"/>
      <c r="R353" s="73"/>
      <c r="S353" s="79"/>
      <c r="T353" s="80"/>
      <c r="U353" s="78">
        <f>IF([1]DADOS!F334="","",[1]DADOS!F334)</f>
      </c>
      <c r="V353" s="81">
        <f>IF(C353="","",[1]DADOS!$D$8)</f>
      </c>
    </row>
    <row r="354" ht="21" customHeight="1" spans="2:22" x14ac:dyDescent="0.25">
      <c r="B354" s="73">
        <v>325</v>
      </c>
      <c r="C354" s="74">
        <f>IF([1]DADOS!D335="","",[1]DADOS!D335)</f>
      </c>
      <c r="D354" s="75"/>
      <c r="E354" s="76"/>
      <c r="F354" s="76"/>
      <c r="G354" s="77"/>
      <c r="H354" s="74"/>
      <c r="I354" s="78">
        <f>IF([1]DADOS!G335="","",[1]DADOS!G335)</f>
      </c>
      <c r="J354" s="73">
        <f>IF([1]DADOS!I335="MONOFÁSICO","X","")</f>
      </c>
      <c r="K354" s="73">
        <f>IF([1]DADOS!I335="BIFÁSICO","X","")</f>
      </c>
      <c r="L354" s="73">
        <f>IF([1]DADOS!I335="TRIFÁSICO","X","")</f>
      </c>
      <c r="M354" s="73">
        <f>IF([1]DADOS!H335="5M","X","")</f>
      </c>
      <c r="N354" s="73">
        <f>IF([1]DADOS!H335="7M","X","")</f>
      </c>
      <c r="O354" s="73">
        <f>IF([1]DADOS!H335="PP","X","")</f>
      </c>
      <c r="P354" s="73"/>
      <c r="Q354" s="73"/>
      <c r="R354" s="73"/>
      <c r="S354" s="79"/>
      <c r="T354" s="80"/>
      <c r="U354" s="78">
        <f>IF([1]DADOS!F335="","",[1]DADOS!F335)</f>
      </c>
      <c r="V354" s="81">
        <f>IF(C354="","",[1]DADOS!$D$8)</f>
      </c>
    </row>
    <row r="355" ht="21" customHeight="1" spans="2:22" x14ac:dyDescent="0.25">
      <c r="B355" s="73">
        <v>326</v>
      </c>
      <c r="C355" s="74">
        <f>IF([1]DADOS!D336="","",[1]DADOS!D336)</f>
      </c>
      <c r="D355" s="75"/>
      <c r="E355" s="76"/>
      <c r="F355" s="76"/>
      <c r="G355" s="77"/>
      <c r="H355" s="74"/>
      <c r="I355" s="78">
        <f>IF([1]DADOS!G336="","",[1]DADOS!G336)</f>
      </c>
      <c r="J355" s="73">
        <f>IF([1]DADOS!I336="MONOFÁSICO","X","")</f>
      </c>
      <c r="K355" s="73">
        <f>IF([1]DADOS!I336="BIFÁSICO","X","")</f>
      </c>
      <c r="L355" s="73">
        <f>IF([1]DADOS!I336="TRIFÁSICO","X","")</f>
      </c>
      <c r="M355" s="73">
        <f>IF([1]DADOS!H336="5M","X","")</f>
      </c>
      <c r="N355" s="73">
        <f>IF([1]DADOS!H336="7M","X","")</f>
      </c>
      <c r="O355" s="73">
        <f>IF([1]DADOS!H336="PP","X","")</f>
      </c>
      <c r="P355" s="73"/>
      <c r="Q355" s="73"/>
      <c r="R355" s="73"/>
      <c r="S355" s="79"/>
      <c r="T355" s="80"/>
      <c r="U355" s="78">
        <f>IF([1]DADOS!F336="","",[1]DADOS!F336)</f>
      </c>
      <c r="V355" s="81">
        <f>IF(C355="","",[1]DADOS!$D$8)</f>
      </c>
    </row>
    <row r="356" ht="21" customHeight="1" spans="2:22" x14ac:dyDescent="0.25">
      <c r="B356" s="73">
        <v>327</v>
      </c>
      <c r="C356" s="74">
        <f>IF([1]DADOS!D337="","",[1]DADOS!D337)</f>
      </c>
      <c r="D356" s="75"/>
      <c r="E356" s="76"/>
      <c r="F356" s="76"/>
      <c r="G356" s="77"/>
      <c r="H356" s="74"/>
      <c r="I356" s="78">
        <f>IF([1]DADOS!G337="","",[1]DADOS!G337)</f>
      </c>
      <c r="J356" s="73">
        <f>IF([1]DADOS!I337="MONOFÁSICO","X","")</f>
      </c>
      <c r="K356" s="73">
        <f>IF([1]DADOS!I337="BIFÁSICO","X","")</f>
      </c>
      <c r="L356" s="73">
        <f>IF([1]DADOS!I337="TRIFÁSICO","X","")</f>
      </c>
      <c r="M356" s="73">
        <f>IF([1]DADOS!H337="5M","X","")</f>
      </c>
      <c r="N356" s="73">
        <f>IF([1]DADOS!H337="7M","X","")</f>
      </c>
      <c r="O356" s="73">
        <f>IF([1]DADOS!H337="PP","X","")</f>
      </c>
      <c r="P356" s="73"/>
      <c r="Q356" s="73"/>
      <c r="R356" s="73"/>
      <c r="S356" s="79"/>
      <c r="T356" s="80"/>
      <c r="U356" s="78">
        <f>IF([1]DADOS!F337="","",[1]DADOS!F337)</f>
      </c>
      <c r="V356" s="81">
        <f>IF(C356="","",[1]DADOS!$D$8)</f>
      </c>
    </row>
    <row r="357" ht="21" customHeight="1" spans="2:22" x14ac:dyDescent="0.25">
      <c r="B357" s="73">
        <v>328</v>
      </c>
      <c r="C357" s="74">
        <f>IF([1]DADOS!D338="","",[1]DADOS!D338)</f>
      </c>
      <c r="D357" s="75"/>
      <c r="E357" s="76"/>
      <c r="F357" s="76"/>
      <c r="G357" s="77"/>
      <c r="H357" s="74"/>
      <c r="I357" s="78">
        <f>IF([1]DADOS!G338="","",[1]DADOS!G338)</f>
      </c>
      <c r="J357" s="73">
        <f>IF([1]DADOS!I338="MONOFÁSICO","X","")</f>
      </c>
      <c r="K357" s="73">
        <f>IF([1]DADOS!I338="BIFÁSICO","X","")</f>
      </c>
      <c r="L357" s="73">
        <f>IF([1]DADOS!I338="TRIFÁSICO","X","")</f>
      </c>
      <c r="M357" s="73">
        <f>IF([1]DADOS!H338="5M","X","")</f>
      </c>
      <c r="N357" s="73">
        <f>IF([1]DADOS!H338="7M","X","")</f>
      </c>
      <c r="O357" s="73">
        <f>IF([1]DADOS!H338="PP","X","")</f>
      </c>
      <c r="P357" s="73"/>
      <c r="Q357" s="73"/>
      <c r="R357" s="73"/>
      <c r="S357" s="79"/>
      <c r="T357" s="80"/>
      <c r="U357" s="78">
        <f>IF([1]DADOS!F338="","",[1]DADOS!F338)</f>
      </c>
      <c r="V357" s="81">
        <f>IF(C357="","",[1]DADOS!$D$8)</f>
      </c>
    </row>
    <row r="358" ht="21" customHeight="1" spans="2:22" x14ac:dyDescent="0.25">
      <c r="B358" s="73">
        <v>329</v>
      </c>
      <c r="C358" s="74">
        <f>IF([1]DADOS!D339="","",[1]DADOS!D339)</f>
      </c>
      <c r="D358" s="75"/>
      <c r="E358" s="76"/>
      <c r="F358" s="76"/>
      <c r="G358" s="77"/>
      <c r="H358" s="74"/>
      <c r="I358" s="78">
        <f>IF([1]DADOS!G339="","",[1]DADOS!G339)</f>
      </c>
      <c r="J358" s="73">
        <f>IF([1]DADOS!I339="MONOFÁSICO","X","")</f>
      </c>
      <c r="K358" s="73">
        <f>IF([1]DADOS!I339="BIFÁSICO","X","")</f>
      </c>
      <c r="L358" s="73">
        <f>IF([1]DADOS!I339="TRIFÁSICO","X","")</f>
      </c>
      <c r="M358" s="73">
        <f>IF([1]DADOS!H339="5M","X","")</f>
      </c>
      <c r="N358" s="73">
        <f>IF([1]DADOS!H339="7M","X","")</f>
      </c>
      <c r="O358" s="73">
        <f>IF([1]DADOS!H339="PP","X","")</f>
      </c>
      <c r="P358" s="73"/>
      <c r="Q358" s="73"/>
      <c r="R358" s="73"/>
      <c r="S358" s="79"/>
      <c r="T358" s="80"/>
      <c r="U358" s="78">
        <f>IF([1]DADOS!F339="","",[1]DADOS!F339)</f>
      </c>
      <c r="V358" s="81">
        <f>IF(C358="","",[1]DADOS!$D$8)</f>
      </c>
    </row>
    <row r="359" ht="21" customHeight="1" spans="2:22" x14ac:dyDescent="0.25">
      <c r="B359" s="73">
        <v>330</v>
      </c>
      <c r="C359" s="74">
        <f>IF([1]DADOS!D340="","",[1]DADOS!D340)</f>
      </c>
      <c r="D359" s="75"/>
      <c r="E359" s="76"/>
      <c r="F359" s="76"/>
      <c r="G359" s="77"/>
      <c r="H359" s="74"/>
      <c r="I359" s="78">
        <f>IF([1]DADOS!G340="","",[1]DADOS!G340)</f>
      </c>
      <c r="J359" s="73">
        <f>IF([1]DADOS!I340="MONOFÁSICO","X","")</f>
      </c>
      <c r="K359" s="73">
        <f>IF([1]DADOS!I340="BIFÁSICO","X","")</f>
      </c>
      <c r="L359" s="73">
        <f>IF([1]DADOS!I340="TRIFÁSICO","X","")</f>
      </c>
      <c r="M359" s="73">
        <f>IF([1]DADOS!H340="5M","X","")</f>
      </c>
      <c r="N359" s="73">
        <f>IF([1]DADOS!H340="7M","X","")</f>
      </c>
      <c r="O359" s="73">
        <f>IF([1]DADOS!H340="PP","X","")</f>
      </c>
      <c r="P359" s="73"/>
      <c r="Q359" s="73"/>
      <c r="R359" s="73"/>
      <c r="S359" s="79"/>
      <c r="T359" s="80"/>
      <c r="U359" s="78">
        <f>IF([1]DADOS!F340="","",[1]DADOS!F340)</f>
      </c>
      <c r="V359" s="81">
        <f>IF(C359="","",[1]DADOS!$D$8)</f>
      </c>
    </row>
    <row r="360" ht="21" customHeight="1" spans="2:22" x14ac:dyDescent="0.25">
      <c r="B360" s="73">
        <v>331</v>
      </c>
      <c r="C360" s="74">
        <f>IF([1]DADOS!D341="","",[1]DADOS!D341)</f>
      </c>
      <c r="D360" s="75"/>
      <c r="E360" s="76"/>
      <c r="F360" s="76"/>
      <c r="G360" s="77"/>
      <c r="H360" s="74"/>
      <c r="I360" s="78">
        <f>IF([1]DADOS!G341="","",[1]DADOS!G341)</f>
      </c>
      <c r="J360" s="73">
        <f>IF([1]DADOS!I341="MONOFÁSICO","X","")</f>
      </c>
      <c r="K360" s="73">
        <f>IF([1]DADOS!I341="BIFÁSICO","X","")</f>
      </c>
      <c r="L360" s="73">
        <f>IF([1]DADOS!I341="TRIFÁSICO","X","")</f>
      </c>
      <c r="M360" s="73">
        <f>IF([1]DADOS!H341="5M","X","")</f>
      </c>
      <c r="N360" s="73">
        <f>IF([1]DADOS!H341="7M","X","")</f>
      </c>
      <c r="O360" s="73">
        <f>IF([1]DADOS!H341="PP","X","")</f>
      </c>
      <c r="P360" s="73"/>
      <c r="Q360" s="73"/>
      <c r="R360" s="73"/>
      <c r="S360" s="79"/>
      <c r="T360" s="80"/>
      <c r="U360" s="78">
        <f>IF([1]DADOS!F341="","",[1]DADOS!F341)</f>
      </c>
      <c r="V360" s="81">
        <f>IF(C360="","",[1]DADOS!$D$8)</f>
      </c>
    </row>
    <row r="361" ht="21" customHeight="1" spans="2:22" x14ac:dyDescent="0.25">
      <c r="B361" s="73">
        <v>332</v>
      </c>
      <c r="C361" s="74">
        <f>IF([1]DADOS!D342="","",[1]DADOS!D342)</f>
      </c>
      <c r="D361" s="75"/>
      <c r="E361" s="76"/>
      <c r="F361" s="76"/>
      <c r="G361" s="77"/>
      <c r="H361" s="74"/>
      <c r="I361" s="78">
        <f>IF([1]DADOS!G342="","",[1]DADOS!G342)</f>
      </c>
      <c r="J361" s="73">
        <f>IF([1]DADOS!I342="MONOFÁSICO","X","")</f>
      </c>
      <c r="K361" s="73">
        <f>IF([1]DADOS!I342="BIFÁSICO","X","")</f>
      </c>
      <c r="L361" s="73">
        <f>IF([1]DADOS!I342="TRIFÁSICO","X","")</f>
      </c>
      <c r="M361" s="73">
        <f>IF([1]DADOS!H342="5M","X","")</f>
      </c>
      <c r="N361" s="73">
        <f>IF([1]DADOS!H342="7M","X","")</f>
      </c>
      <c r="O361" s="73">
        <f>IF([1]DADOS!H342="PP","X","")</f>
      </c>
      <c r="P361" s="73"/>
      <c r="Q361" s="73"/>
      <c r="R361" s="73"/>
      <c r="S361" s="79"/>
      <c r="T361" s="80"/>
      <c r="U361" s="78">
        <f>IF([1]DADOS!F342="","",[1]DADOS!F342)</f>
      </c>
      <c r="V361" s="81">
        <f>IF(C361="","",[1]DADOS!$D$8)</f>
      </c>
    </row>
    <row r="362" ht="21" customHeight="1" spans="2:22" x14ac:dyDescent="0.25">
      <c r="B362" s="73">
        <v>333</v>
      </c>
      <c r="C362" s="74">
        <f>IF([1]DADOS!D343="","",[1]DADOS!D343)</f>
      </c>
      <c r="D362" s="75"/>
      <c r="E362" s="76"/>
      <c r="F362" s="76"/>
      <c r="G362" s="77"/>
      <c r="H362" s="74"/>
      <c r="I362" s="78">
        <f>IF([1]DADOS!G343="","",[1]DADOS!G343)</f>
      </c>
      <c r="J362" s="73">
        <f>IF([1]DADOS!I343="MONOFÁSICO","X","")</f>
      </c>
      <c r="K362" s="73">
        <f>IF([1]DADOS!I343="BIFÁSICO","X","")</f>
      </c>
      <c r="L362" s="73">
        <f>IF([1]DADOS!I343="TRIFÁSICO","X","")</f>
      </c>
      <c r="M362" s="73">
        <f>IF([1]DADOS!H343="5M","X","")</f>
      </c>
      <c r="N362" s="73">
        <f>IF([1]DADOS!H343="7M","X","")</f>
      </c>
      <c r="O362" s="73">
        <f>IF([1]DADOS!H343="PP","X","")</f>
      </c>
      <c r="P362" s="73"/>
      <c r="Q362" s="73"/>
      <c r="R362" s="73"/>
      <c r="S362" s="79"/>
      <c r="T362" s="80"/>
      <c r="U362" s="78">
        <f>IF([1]DADOS!F343="","",[1]DADOS!F343)</f>
      </c>
      <c r="V362" s="81">
        <f>IF(C362="","",[1]DADOS!$D$8)</f>
      </c>
    </row>
    <row r="363" ht="21" customHeight="1" spans="2:22" x14ac:dyDescent="0.25">
      <c r="B363" s="73">
        <v>334</v>
      </c>
      <c r="C363" s="74">
        <f>IF([1]DADOS!D344="","",[1]DADOS!D344)</f>
      </c>
      <c r="D363" s="75"/>
      <c r="E363" s="76"/>
      <c r="F363" s="76"/>
      <c r="G363" s="77"/>
      <c r="H363" s="74"/>
      <c r="I363" s="78">
        <f>IF([1]DADOS!G344="","",[1]DADOS!G344)</f>
      </c>
      <c r="J363" s="73">
        <f>IF([1]DADOS!I344="MONOFÁSICO","X","")</f>
      </c>
      <c r="K363" s="73">
        <f>IF([1]DADOS!I344="BIFÁSICO","X","")</f>
      </c>
      <c r="L363" s="73">
        <f>IF([1]DADOS!I344="TRIFÁSICO","X","")</f>
      </c>
      <c r="M363" s="73">
        <f>IF([1]DADOS!H344="5M","X","")</f>
      </c>
      <c r="N363" s="73">
        <f>IF([1]DADOS!H344="7M","X","")</f>
      </c>
      <c r="O363" s="73">
        <f>IF([1]DADOS!H344="PP","X","")</f>
      </c>
      <c r="P363" s="73"/>
      <c r="Q363" s="73"/>
      <c r="R363" s="73"/>
      <c r="S363" s="79"/>
      <c r="T363" s="80"/>
      <c r="U363" s="78">
        <f>IF([1]DADOS!F344="","",[1]DADOS!F344)</f>
      </c>
      <c r="V363" s="81">
        <f>IF(C363="","",[1]DADOS!$D$8)</f>
      </c>
    </row>
    <row r="364" ht="21" customHeight="1" spans="2:22" x14ac:dyDescent="0.25">
      <c r="B364" s="73">
        <v>335</v>
      </c>
      <c r="C364" s="74">
        <f>IF([1]DADOS!D345="","",[1]DADOS!D345)</f>
      </c>
      <c r="D364" s="75"/>
      <c r="E364" s="76"/>
      <c r="F364" s="76"/>
      <c r="G364" s="77"/>
      <c r="H364" s="74"/>
      <c r="I364" s="78">
        <f>IF([1]DADOS!G345="","",[1]DADOS!G345)</f>
      </c>
      <c r="J364" s="73">
        <f>IF([1]DADOS!I345="MONOFÁSICO","X","")</f>
      </c>
      <c r="K364" s="73">
        <f>IF([1]DADOS!I345="BIFÁSICO","X","")</f>
      </c>
      <c r="L364" s="73">
        <f>IF([1]DADOS!I345="TRIFÁSICO","X","")</f>
      </c>
      <c r="M364" s="73">
        <f>IF([1]DADOS!H345="5M","X","")</f>
      </c>
      <c r="N364" s="73">
        <f>IF([1]DADOS!H345="7M","X","")</f>
      </c>
      <c r="O364" s="73">
        <f>IF([1]DADOS!H345="PP","X","")</f>
      </c>
      <c r="P364" s="73"/>
      <c r="Q364" s="73"/>
      <c r="R364" s="73"/>
      <c r="S364" s="79"/>
      <c r="T364" s="80"/>
      <c r="U364" s="78">
        <f>IF([1]DADOS!F345="","",[1]DADOS!F345)</f>
      </c>
      <c r="V364" s="81">
        <f>IF(C364="","",[1]DADOS!$D$8)</f>
      </c>
    </row>
    <row r="365" ht="21" customHeight="1" spans="2:22" x14ac:dyDescent="0.25">
      <c r="B365" s="73">
        <v>336</v>
      </c>
      <c r="C365" s="74">
        <f>IF([1]DADOS!D346="","",[1]DADOS!D346)</f>
      </c>
      <c r="D365" s="75"/>
      <c r="E365" s="76"/>
      <c r="F365" s="76"/>
      <c r="G365" s="77"/>
      <c r="H365" s="74"/>
      <c r="I365" s="78">
        <f>IF([1]DADOS!G346="","",[1]DADOS!G346)</f>
      </c>
      <c r="J365" s="73">
        <f>IF([1]DADOS!I346="MONOFÁSICO","X","")</f>
      </c>
      <c r="K365" s="73">
        <f>IF([1]DADOS!I346="BIFÁSICO","X","")</f>
      </c>
      <c r="L365" s="73">
        <f>IF([1]DADOS!I346="TRIFÁSICO","X","")</f>
      </c>
      <c r="M365" s="73">
        <f>IF([1]DADOS!H346="5M","X","")</f>
      </c>
      <c r="N365" s="73">
        <f>IF([1]DADOS!H346="7M","X","")</f>
      </c>
      <c r="O365" s="73">
        <f>IF([1]DADOS!H346="PP","X","")</f>
      </c>
      <c r="P365" s="73"/>
      <c r="Q365" s="73"/>
      <c r="R365" s="73"/>
      <c r="S365" s="79"/>
      <c r="T365" s="80"/>
      <c r="U365" s="78">
        <f>IF([1]DADOS!F346="","",[1]DADOS!F346)</f>
      </c>
      <c r="V365" s="81">
        <f>IF(C365="","",[1]DADOS!$D$8)</f>
      </c>
    </row>
    <row r="366" ht="21" customHeight="1" spans="2:22" x14ac:dyDescent="0.25">
      <c r="B366" s="73">
        <v>337</v>
      </c>
      <c r="C366" s="74">
        <f>IF([1]DADOS!D347="","",[1]DADOS!D347)</f>
      </c>
      <c r="D366" s="75"/>
      <c r="E366" s="76"/>
      <c r="F366" s="76"/>
      <c r="G366" s="77"/>
      <c r="H366" s="74"/>
      <c r="I366" s="78">
        <f>IF([1]DADOS!G347="","",[1]DADOS!G347)</f>
      </c>
      <c r="J366" s="73">
        <f>IF([1]DADOS!I347="MONOFÁSICO","X","")</f>
      </c>
      <c r="K366" s="73">
        <f>IF([1]DADOS!I347="BIFÁSICO","X","")</f>
      </c>
      <c r="L366" s="73">
        <f>IF([1]DADOS!I347="TRIFÁSICO","X","")</f>
      </c>
      <c r="M366" s="73">
        <f>IF([1]DADOS!H347="5M","X","")</f>
      </c>
      <c r="N366" s="73">
        <f>IF([1]DADOS!H347="7M","X","")</f>
      </c>
      <c r="O366" s="73">
        <f>IF([1]DADOS!H347="PP","X","")</f>
      </c>
      <c r="P366" s="73"/>
      <c r="Q366" s="73"/>
      <c r="R366" s="73"/>
      <c r="S366" s="79"/>
      <c r="T366" s="80"/>
      <c r="U366" s="78">
        <f>IF([1]DADOS!F347="","",[1]DADOS!F347)</f>
      </c>
      <c r="V366" s="81">
        <f>IF(C366="","",[1]DADOS!$D$8)</f>
      </c>
    </row>
    <row r="367" ht="21" customHeight="1" spans="2:22" x14ac:dyDescent="0.25">
      <c r="B367" s="73">
        <v>338</v>
      </c>
      <c r="C367" s="74">
        <f>IF([1]DADOS!D348="","",[1]DADOS!D348)</f>
      </c>
      <c r="D367" s="75"/>
      <c r="E367" s="76"/>
      <c r="F367" s="76"/>
      <c r="G367" s="77"/>
      <c r="H367" s="74"/>
      <c r="I367" s="78">
        <f>IF([1]DADOS!G348="","",[1]DADOS!G348)</f>
      </c>
      <c r="J367" s="73">
        <f>IF([1]DADOS!I348="MONOFÁSICO","X","")</f>
      </c>
      <c r="K367" s="73">
        <f>IF([1]DADOS!I348="BIFÁSICO","X","")</f>
      </c>
      <c r="L367" s="73">
        <f>IF([1]DADOS!I348="TRIFÁSICO","X","")</f>
      </c>
      <c r="M367" s="73">
        <f>IF([1]DADOS!H348="5M","X","")</f>
      </c>
      <c r="N367" s="73">
        <f>IF([1]DADOS!H348="7M","X","")</f>
      </c>
      <c r="O367" s="73">
        <f>IF([1]DADOS!H348="PP","X","")</f>
      </c>
      <c r="P367" s="73"/>
      <c r="Q367" s="73"/>
      <c r="R367" s="73"/>
      <c r="S367" s="79"/>
      <c r="T367" s="80"/>
      <c r="U367" s="78">
        <f>IF([1]DADOS!F348="","",[1]DADOS!F348)</f>
      </c>
      <c r="V367" s="81">
        <f>IF(C367="","",[1]DADOS!$D$8)</f>
      </c>
    </row>
    <row r="368" ht="21" customHeight="1" spans="2:22" x14ac:dyDescent="0.25">
      <c r="B368" s="73">
        <v>339</v>
      </c>
      <c r="C368" s="74">
        <f>IF([1]DADOS!D349="","",[1]DADOS!D349)</f>
      </c>
      <c r="D368" s="75"/>
      <c r="E368" s="76"/>
      <c r="F368" s="76"/>
      <c r="G368" s="77"/>
      <c r="H368" s="74"/>
      <c r="I368" s="78">
        <f>IF([1]DADOS!G349="","",[1]DADOS!G349)</f>
      </c>
      <c r="J368" s="73">
        <f>IF([1]DADOS!I349="MONOFÁSICO","X","")</f>
      </c>
      <c r="K368" s="73">
        <f>IF([1]DADOS!I349="BIFÁSICO","X","")</f>
      </c>
      <c r="L368" s="73">
        <f>IF([1]DADOS!I349="TRIFÁSICO","X","")</f>
      </c>
      <c r="M368" s="73">
        <f>IF([1]DADOS!H349="5M","X","")</f>
      </c>
      <c r="N368" s="73">
        <f>IF([1]DADOS!H349="7M","X","")</f>
      </c>
      <c r="O368" s="73">
        <f>IF([1]DADOS!H349="PP","X","")</f>
      </c>
      <c r="P368" s="73"/>
      <c r="Q368" s="73"/>
      <c r="R368" s="73"/>
      <c r="S368" s="79"/>
      <c r="T368" s="80"/>
      <c r="U368" s="78">
        <f>IF([1]DADOS!F349="","",[1]DADOS!F349)</f>
      </c>
      <c r="V368" s="81">
        <f>IF(C368="","",[1]DADOS!$D$8)</f>
      </c>
    </row>
    <row r="369" ht="21" customHeight="1" spans="2:22" x14ac:dyDescent="0.25">
      <c r="B369" s="73">
        <v>340</v>
      </c>
      <c r="C369" s="74">
        <f>IF([1]DADOS!D350="","",[1]DADOS!D350)</f>
      </c>
      <c r="D369" s="75"/>
      <c r="E369" s="76"/>
      <c r="F369" s="76"/>
      <c r="G369" s="77"/>
      <c r="H369" s="74"/>
      <c r="I369" s="78">
        <f>IF([1]DADOS!G350="","",[1]DADOS!G350)</f>
      </c>
      <c r="J369" s="73">
        <f>IF([1]DADOS!I350="MONOFÁSICO","X","")</f>
      </c>
      <c r="K369" s="73">
        <f>IF([1]DADOS!I350="BIFÁSICO","X","")</f>
      </c>
      <c r="L369" s="73">
        <f>IF([1]DADOS!I350="TRIFÁSICO","X","")</f>
      </c>
      <c r="M369" s="73">
        <f>IF([1]DADOS!H350="5M","X","")</f>
      </c>
      <c r="N369" s="73">
        <f>IF([1]DADOS!H350="7M","X","")</f>
      </c>
      <c r="O369" s="73">
        <f>IF([1]DADOS!H350="PP","X","")</f>
      </c>
      <c r="P369" s="73"/>
      <c r="Q369" s="73"/>
      <c r="R369" s="73"/>
      <c r="S369" s="79"/>
      <c r="T369" s="80"/>
      <c r="U369" s="78">
        <f>IF([1]DADOS!F350="","",[1]DADOS!F350)</f>
      </c>
      <c r="V369" s="81">
        <f>IF(C369="","",[1]DADOS!$D$8)</f>
      </c>
    </row>
    <row r="370" ht="21" customHeight="1" spans="2:22" x14ac:dyDescent="0.25">
      <c r="B370" s="73">
        <v>341</v>
      </c>
      <c r="C370" s="74">
        <f>IF([1]DADOS!D351="","",[1]DADOS!D351)</f>
      </c>
      <c r="D370" s="75"/>
      <c r="E370" s="76"/>
      <c r="F370" s="76"/>
      <c r="G370" s="77"/>
      <c r="H370" s="74"/>
      <c r="I370" s="78">
        <f>IF([1]DADOS!G351="","",[1]DADOS!G351)</f>
      </c>
      <c r="J370" s="73">
        <f>IF([1]DADOS!I351="MONOFÁSICO","X","")</f>
      </c>
      <c r="K370" s="73">
        <f>IF([1]DADOS!I351="BIFÁSICO","X","")</f>
      </c>
      <c r="L370" s="73">
        <f>IF([1]DADOS!I351="TRIFÁSICO","X","")</f>
      </c>
      <c r="M370" s="73">
        <f>IF([1]DADOS!H351="5M","X","")</f>
      </c>
      <c r="N370" s="73">
        <f>IF([1]DADOS!H351="7M","X","")</f>
      </c>
      <c r="O370" s="73">
        <f>IF([1]DADOS!H351="PP","X","")</f>
      </c>
      <c r="P370" s="73"/>
      <c r="Q370" s="73"/>
      <c r="R370" s="73"/>
      <c r="S370" s="79"/>
      <c r="T370" s="80"/>
      <c r="U370" s="78">
        <f>IF([1]DADOS!F351="","",[1]DADOS!F351)</f>
      </c>
      <c r="V370" s="81">
        <f>IF(C370="","",[1]DADOS!$D$8)</f>
      </c>
    </row>
    <row r="371" ht="21" customHeight="1" spans="2:22" x14ac:dyDescent="0.25">
      <c r="B371" s="73">
        <v>342</v>
      </c>
      <c r="C371" s="74">
        <f>IF([1]DADOS!D352="","",[1]DADOS!D352)</f>
      </c>
      <c r="D371" s="75"/>
      <c r="E371" s="76"/>
      <c r="F371" s="76"/>
      <c r="G371" s="77"/>
      <c r="H371" s="74"/>
      <c r="I371" s="78">
        <f>IF([1]DADOS!G352="","",[1]DADOS!G352)</f>
      </c>
      <c r="J371" s="73">
        <f>IF([1]DADOS!I352="MONOFÁSICO","X","")</f>
      </c>
      <c r="K371" s="73">
        <f>IF([1]DADOS!I352="BIFÁSICO","X","")</f>
      </c>
      <c r="L371" s="73">
        <f>IF([1]DADOS!I352="TRIFÁSICO","X","")</f>
      </c>
      <c r="M371" s="73">
        <f>IF([1]DADOS!H352="5M","X","")</f>
      </c>
      <c r="N371" s="73">
        <f>IF([1]DADOS!H352="7M","X","")</f>
      </c>
      <c r="O371" s="73">
        <f>IF([1]DADOS!H352="PP","X","")</f>
      </c>
      <c r="P371" s="73"/>
      <c r="Q371" s="73"/>
      <c r="R371" s="73"/>
      <c r="S371" s="79"/>
      <c r="T371" s="80"/>
      <c r="U371" s="78">
        <f>IF([1]DADOS!F352="","",[1]DADOS!F352)</f>
      </c>
      <c r="V371" s="81">
        <f>IF(C371="","",[1]DADOS!$D$8)</f>
      </c>
    </row>
    <row r="372" ht="21" customHeight="1" spans="2:22" x14ac:dyDescent="0.25">
      <c r="B372" s="73">
        <v>343</v>
      </c>
      <c r="C372" s="74">
        <f>IF([1]DADOS!D353="","",[1]DADOS!D353)</f>
      </c>
      <c r="D372" s="75"/>
      <c r="E372" s="76"/>
      <c r="F372" s="76"/>
      <c r="G372" s="77"/>
      <c r="H372" s="74"/>
      <c r="I372" s="78">
        <f>IF([1]DADOS!G353="","",[1]DADOS!G353)</f>
      </c>
      <c r="J372" s="73">
        <f>IF([1]DADOS!I353="MONOFÁSICO","X","")</f>
      </c>
      <c r="K372" s="73">
        <f>IF([1]DADOS!I353="BIFÁSICO","X","")</f>
      </c>
      <c r="L372" s="73">
        <f>IF([1]DADOS!I353="TRIFÁSICO","X","")</f>
      </c>
      <c r="M372" s="73">
        <f>IF([1]DADOS!H353="5M","X","")</f>
      </c>
      <c r="N372" s="73">
        <f>IF([1]DADOS!H353="7M","X","")</f>
      </c>
      <c r="O372" s="73">
        <f>IF([1]DADOS!H353="PP","X","")</f>
      </c>
      <c r="P372" s="73"/>
      <c r="Q372" s="73"/>
      <c r="R372" s="73"/>
      <c r="S372" s="79"/>
      <c r="T372" s="80"/>
      <c r="U372" s="78">
        <f>IF([1]DADOS!F353="","",[1]DADOS!F353)</f>
      </c>
      <c r="V372" s="81">
        <f>IF(C372="","",[1]DADOS!$D$8)</f>
      </c>
    </row>
    <row r="373" ht="21" customHeight="1" spans="2:22" x14ac:dyDescent="0.25">
      <c r="B373" s="73">
        <v>344</v>
      </c>
      <c r="C373" s="74">
        <f>IF([1]DADOS!D354="","",[1]DADOS!D354)</f>
      </c>
      <c r="D373" s="75"/>
      <c r="E373" s="76"/>
      <c r="F373" s="76"/>
      <c r="G373" s="77"/>
      <c r="H373" s="74"/>
      <c r="I373" s="78">
        <f>IF([1]DADOS!G354="","",[1]DADOS!G354)</f>
      </c>
      <c r="J373" s="73">
        <f>IF([1]DADOS!I354="MONOFÁSICO","X","")</f>
      </c>
      <c r="K373" s="73">
        <f>IF([1]DADOS!I354="BIFÁSICO","X","")</f>
      </c>
      <c r="L373" s="73">
        <f>IF([1]DADOS!I354="TRIFÁSICO","X","")</f>
      </c>
      <c r="M373" s="73">
        <f>IF([1]DADOS!H354="5M","X","")</f>
      </c>
      <c r="N373" s="73">
        <f>IF([1]DADOS!H354="7M","X","")</f>
      </c>
      <c r="O373" s="73">
        <f>IF([1]DADOS!H354="PP","X","")</f>
      </c>
      <c r="P373" s="73"/>
      <c r="Q373" s="73"/>
      <c r="R373" s="73"/>
      <c r="S373" s="79"/>
      <c r="T373" s="80"/>
      <c r="U373" s="78">
        <f>IF([1]DADOS!F354="","",[1]DADOS!F354)</f>
      </c>
      <c r="V373" s="81">
        <f>IF(C373="","",[1]DADOS!$D$8)</f>
      </c>
    </row>
    <row r="374" ht="21" customHeight="1" spans="2:22" x14ac:dyDescent="0.25">
      <c r="B374" s="73">
        <v>345</v>
      </c>
      <c r="C374" s="74">
        <f>IF([1]DADOS!D355="","",[1]DADOS!D355)</f>
      </c>
      <c r="D374" s="75"/>
      <c r="E374" s="76"/>
      <c r="F374" s="76"/>
      <c r="G374" s="77"/>
      <c r="H374" s="74"/>
      <c r="I374" s="78">
        <f>IF([1]DADOS!G355="","",[1]DADOS!G355)</f>
      </c>
      <c r="J374" s="73">
        <f>IF([1]DADOS!I355="MONOFÁSICO","X","")</f>
      </c>
      <c r="K374" s="73">
        <f>IF([1]DADOS!I355="BIFÁSICO","X","")</f>
      </c>
      <c r="L374" s="73">
        <f>IF([1]DADOS!I355="TRIFÁSICO","X","")</f>
      </c>
      <c r="M374" s="73">
        <f>IF([1]DADOS!H355="5M","X","")</f>
      </c>
      <c r="N374" s="73">
        <f>IF([1]DADOS!H355="7M","X","")</f>
      </c>
      <c r="O374" s="73">
        <f>IF([1]DADOS!H355="PP","X","")</f>
      </c>
      <c r="P374" s="73"/>
      <c r="Q374" s="73"/>
      <c r="R374" s="73"/>
      <c r="S374" s="79"/>
      <c r="T374" s="80"/>
      <c r="U374" s="78">
        <f>IF([1]DADOS!F355="","",[1]DADOS!F355)</f>
      </c>
      <c r="V374" s="81">
        <f>IF(C374="","",[1]DADOS!$D$8)</f>
      </c>
    </row>
    <row r="375" ht="21" customHeight="1" spans="2:22" x14ac:dyDescent="0.25">
      <c r="B375" s="73">
        <v>346</v>
      </c>
      <c r="C375" s="74">
        <f>IF([1]DADOS!D356="","",[1]DADOS!D356)</f>
      </c>
      <c r="D375" s="75"/>
      <c r="E375" s="76"/>
      <c r="F375" s="76"/>
      <c r="G375" s="77"/>
      <c r="H375" s="74"/>
      <c r="I375" s="78">
        <f>IF([1]DADOS!G356="","",[1]DADOS!G356)</f>
      </c>
      <c r="J375" s="73">
        <f>IF([1]DADOS!I356="MONOFÁSICO","X","")</f>
      </c>
      <c r="K375" s="73">
        <f>IF([1]DADOS!I356="BIFÁSICO","X","")</f>
      </c>
      <c r="L375" s="73">
        <f>IF([1]DADOS!I356="TRIFÁSICO","X","")</f>
      </c>
      <c r="M375" s="73">
        <f>IF([1]DADOS!H356="5M","X","")</f>
      </c>
      <c r="N375" s="73">
        <f>IF([1]DADOS!H356="7M","X","")</f>
      </c>
      <c r="O375" s="73">
        <f>IF([1]DADOS!H356="PP","X","")</f>
      </c>
      <c r="P375" s="73"/>
      <c r="Q375" s="73"/>
      <c r="R375" s="73"/>
      <c r="S375" s="79"/>
      <c r="T375" s="80"/>
      <c r="U375" s="78">
        <f>IF([1]DADOS!F356="","",[1]DADOS!F356)</f>
      </c>
      <c r="V375" s="81">
        <f>IF(C375="","",[1]DADOS!$D$8)</f>
      </c>
    </row>
    <row r="376" ht="21" customHeight="1" spans="2:22" x14ac:dyDescent="0.25">
      <c r="B376" s="73">
        <v>347</v>
      </c>
      <c r="C376" s="74">
        <f>IF([1]DADOS!D357="","",[1]DADOS!D357)</f>
      </c>
      <c r="D376" s="75"/>
      <c r="E376" s="76"/>
      <c r="F376" s="76"/>
      <c r="G376" s="77"/>
      <c r="H376" s="74"/>
      <c r="I376" s="78">
        <f>IF([1]DADOS!G357="","",[1]DADOS!G357)</f>
      </c>
      <c r="J376" s="73">
        <f>IF([1]DADOS!I357="MONOFÁSICO","X","")</f>
      </c>
      <c r="K376" s="73">
        <f>IF([1]DADOS!I357="BIFÁSICO","X","")</f>
      </c>
      <c r="L376" s="73">
        <f>IF([1]DADOS!I357="TRIFÁSICO","X","")</f>
      </c>
      <c r="M376" s="73">
        <f>IF([1]DADOS!H357="5M","X","")</f>
      </c>
      <c r="N376" s="73">
        <f>IF([1]DADOS!H357="7M","X","")</f>
      </c>
      <c r="O376" s="73">
        <f>IF([1]DADOS!H357="PP","X","")</f>
      </c>
      <c r="P376" s="73"/>
      <c r="Q376" s="73"/>
      <c r="R376" s="73"/>
      <c r="S376" s="79"/>
      <c r="T376" s="80"/>
      <c r="U376" s="78">
        <f>IF([1]DADOS!F357="","",[1]DADOS!F357)</f>
      </c>
      <c r="V376" s="81">
        <f>IF(C376="","",[1]DADOS!$D$8)</f>
      </c>
    </row>
    <row r="377" ht="21" customHeight="1" spans="2:22" x14ac:dyDescent="0.25">
      <c r="B377" s="73">
        <v>348</v>
      </c>
      <c r="C377" s="74">
        <f>IF([1]DADOS!D358="","",[1]DADOS!D358)</f>
      </c>
      <c r="D377" s="75"/>
      <c r="E377" s="76"/>
      <c r="F377" s="76"/>
      <c r="G377" s="77"/>
      <c r="H377" s="74"/>
      <c r="I377" s="78">
        <f>IF([1]DADOS!G358="","",[1]DADOS!G358)</f>
      </c>
      <c r="J377" s="73">
        <f>IF([1]DADOS!I358="MONOFÁSICO","X","")</f>
      </c>
      <c r="K377" s="73">
        <f>IF([1]DADOS!I358="BIFÁSICO","X","")</f>
      </c>
      <c r="L377" s="73">
        <f>IF([1]DADOS!I358="TRIFÁSICO","X","")</f>
      </c>
      <c r="M377" s="73">
        <f>IF([1]DADOS!H358="5M","X","")</f>
      </c>
      <c r="N377" s="73">
        <f>IF([1]DADOS!H358="7M","X","")</f>
      </c>
      <c r="O377" s="73">
        <f>IF([1]DADOS!H358="PP","X","")</f>
      </c>
      <c r="P377" s="73"/>
      <c r="Q377" s="73"/>
      <c r="R377" s="73"/>
      <c r="S377" s="79"/>
      <c r="T377" s="80"/>
      <c r="U377" s="78">
        <f>IF([1]DADOS!F358="","",[1]DADOS!F358)</f>
      </c>
      <c r="V377" s="81">
        <f>IF(C377="","",[1]DADOS!$D$8)</f>
      </c>
    </row>
    <row r="378" ht="21" customHeight="1" spans="2:22" x14ac:dyDescent="0.25">
      <c r="B378" s="73">
        <v>349</v>
      </c>
      <c r="C378" s="74">
        <f>IF([1]DADOS!D359="","",[1]DADOS!D359)</f>
      </c>
      <c r="D378" s="75"/>
      <c r="E378" s="76"/>
      <c r="F378" s="76"/>
      <c r="G378" s="77"/>
      <c r="H378" s="74"/>
      <c r="I378" s="78">
        <f>IF([1]DADOS!G359="","",[1]DADOS!G359)</f>
      </c>
      <c r="J378" s="73">
        <f>IF([1]DADOS!I359="MONOFÁSICO","X","")</f>
      </c>
      <c r="K378" s="73">
        <f>IF([1]DADOS!I359="BIFÁSICO","X","")</f>
      </c>
      <c r="L378" s="73">
        <f>IF([1]DADOS!I359="TRIFÁSICO","X","")</f>
      </c>
      <c r="M378" s="73">
        <f>IF([1]DADOS!H359="5M","X","")</f>
      </c>
      <c r="N378" s="73">
        <f>IF([1]DADOS!H359="7M","X","")</f>
      </c>
      <c r="O378" s="73">
        <f>IF([1]DADOS!H359="PP","X","")</f>
      </c>
      <c r="P378" s="73"/>
      <c r="Q378" s="73"/>
      <c r="R378" s="73"/>
      <c r="S378" s="79"/>
      <c r="T378" s="80"/>
      <c r="U378" s="78">
        <f>IF([1]DADOS!F359="","",[1]DADOS!F359)</f>
      </c>
      <c r="V378" s="81">
        <f>IF(C378="","",[1]DADOS!$D$8)</f>
      </c>
    </row>
    <row r="379" ht="21" customHeight="1" spans="2:22" x14ac:dyDescent="0.25">
      <c r="B379" s="73">
        <v>350</v>
      </c>
      <c r="C379" s="74">
        <f>IF([1]DADOS!D360="","",[1]DADOS!D360)</f>
      </c>
      <c r="D379" s="75"/>
      <c r="E379" s="76"/>
      <c r="F379" s="76"/>
      <c r="G379" s="77"/>
      <c r="H379" s="74"/>
      <c r="I379" s="78">
        <f>IF([1]DADOS!G360="","",[1]DADOS!G360)</f>
      </c>
      <c r="J379" s="73">
        <f>IF([1]DADOS!I360="MONOFÁSICO","X","")</f>
      </c>
      <c r="K379" s="73">
        <f>IF([1]DADOS!I360="BIFÁSICO","X","")</f>
      </c>
      <c r="L379" s="73">
        <f>IF([1]DADOS!I360="TRIFÁSICO","X","")</f>
      </c>
      <c r="M379" s="73">
        <f>IF([1]DADOS!H360="5M","X","")</f>
      </c>
      <c r="N379" s="73">
        <f>IF([1]DADOS!H360="7M","X","")</f>
      </c>
      <c r="O379" s="73">
        <f>IF([1]DADOS!H360="PP","X","")</f>
      </c>
      <c r="P379" s="73"/>
      <c r="Q379" s="73"/>
      <c r="R379" s="73"/>
      <c r="S379" s="79"/>
      <c r="T379" s="80"/>
      <c r="U379" s="78">
        <f>IF([1]DADOS!F360="","",[1]DADOS!F360)</f>
      </c>
      <c r="V379" s="81">
        <f>IF(C379="","",[1]DADOS!$D$8)</f>
      </c>
    </row>
    <row r="380" ht="21" customHeight="1" spans="2:22" x14ac:dyDescent="0.25">
      <c r="B380" s="73">
        <v>351</v>
      </c>
      <c r="C380" s="74">
        <f>IF([1]DADOS!D361="","",[1]DADOS!D361)</f>
      </c>
      <c r="D380" s="75"/>
      <c r="E380" s="76"/>
      <c r="F380" s="76"/>
      <c r="G380" s="77"/>
      <c r="H380" s="74"/>
      <c r="I380" s="78">
        <f>IF([1]DADOS!G361="","",[1]DADOS!G361)</f>
      </c>
      <c r="J380" s="73">
        <f>IF([1]DADOS!I361="MONOFÁSICO","X","")</f>
      </c>
      <c r="K380" s="73">
        <f>IF([1]DADOS!I361="BIFÁSICO","X","")</f>
      </c>
      <c r="L380" s="73">
        <f>IF([1]DADOS!I361="TRIFÁSICO","X","")</f>
      </c>
      <c r="M380" s="73">
        <f>IF([1]DADOS!H361="5M","X","")</f>
      </c>
      <c r="N380" s="73">
        <f>IF([1]DADOS!H361="7M","X","")</f>
      </c>
      <c r="O380" s="73">
        <f>IF([1]DADOS!H361="PP","X","")</f>
      </c>
      <c r="P380" s="73"/>
      <c r="Q380" s="73"/>
      <c r="R380" s="73"/>
      <c r="S380" s="79"/>
      <c r="T380" s="80"/>
      <c r="U380" s="78">
        <f>IF([1]DADOS!F361="","",[1]DADOS!F361)</f>
      </c>
      <c r="V380" s="81">
        <f>IF(C380="","",[1]DADOS!$D$8)</f>
      </c>
    </row>
    <row r="381" ht="21" customHeight="1" spans="2:22" x14ac:dyDescent="0.25">
      <c r="B381" s="73">
        <v>352</v>
      </c>
      <c r="C381" s="74">
        <f>IF([1]DADOS!D362="","",[1]DADOS!D362)</f>
      </c>
      <c r="D381" s="75"/>
      <c r="E381" s="76"/>
      <c r="F381" s="76"/>
      <c r="G381" s="77"/>
      <c r="H381" s="74"/>
      <c r="I381" s="78">
        <f>IF([1]DADOS!G362="","",[1]DADOS!G362)</f>
      </c>
      <c r="J381" s="73">
        <f>IF([1]DADOS!I362="MONOFÁSICO","X","")</f>
      </c>
      <c r="K381" s="73">
        <f>IF([1]DADOS!I362="BIFÁSICO","X","")</f>
      </c>
      <c r="L381" s="73">
        <f>IF([1]DADOS!I362="TRIFÁSICO","X","")</f>
      </c>
      <c r="M381" s="73">
        <f>IF([1]DADOS!H362="5M","X","")</f>
      </c>
      <c r="N381" s="73">
        <f>IF([1]DADOS!H362="7M","X","")</f>
      </c>
      <c r="O381" s="73">
        <f>IF([1]DADOS!H362="PP","X","")</f>
      </c>
      <c r="P381" s="73"/>
      <c r="Q381" s="73"/>
      <c r="R381" s="73"/>
      <c r="S381" s="79"/>
      <c r="T381" s="80"/>
      <c r="U381" s="78">
        <f>IF([1]DADOS!F362="","",[1]DADOS!F362)</f>
      </c>
      <c r="V381" s="81">
        <f>IF(C381="","",[1]DADOS!$D$8)</f>
      </c>
    </row>
    <row r="382" ht="21" customHeight="1" spans="2:22" x14ac:dyDescent="0.25">
      <c r="B382" s="73">
        <v>353</v>
      </c>
      <c r="C382" s="74">
        <f>IF([1]DADOS!D363="","",[1]DADOS!D363)</f>
      </c>
      <c r="D382" s="75"/>
      <c r="E382" s="76"/>
      <c r="F382" s="76"/>
      <c r="G382" s="77"/>
      <c r="H382" s="74"/>
      <c r="I382" s="78">
        <f>IF([1]DADOS!G363="","",[1]DADOS!G363)</f>
      </c>
      <c r="J382" s="73">
        <f>IF([1]DADOS!I363="MONOFÁSICO","X","")</f>
      </c>
      <c r="K382" s="73">
        <f>IF([1]DADOS!I363="BIFÁSICO","X","")</f>
      </c>
      <c r="L382" s="73">
        <f>IF([1]DADOS!I363="TRIFÁSICO","X","")</f>
      </c>
      <c r="M382" s="73">
        <f>IF([1]DADOS!H363="5M","X","")</f>
      </c>
      <c r="N382" s="73">
        <f>IF([1]DADOS!H363="7M","X","")</f>
      </c>
      <c r="O382" s="73">
        <f>IF([1]DADOS!H363="PP","X","")</f>
      </c>
      <c r="P382" s="73"/>
      <c r="Q382" s="73"/>
      <c r="R382" s="73"/>
      <c r="S382" s="79"/>
      <c r="T382" s="80"/>
      <c r="U382" s="78">
        <f>IF([1]DADOS!F363="","",[1]DADOS!F363)</f>
      </c>
      <c r="V382" s="81">
        <f>IF(C382="","",[1]DADOS!$D$8)</f>
      </c>
    </row>
    <row r="383" ht="21" customHeight="1" spans="2:22" x14ac:dyDescent="0.25">
      <c r="B383" s="73">
        <v>354</v>
      </c>
      <c r="C383" s="74">
        <f>IF([1]DADOS!D364="","",[1]DADOS!D364)</f>
      </c>
      <c r="D383" s="75"/>
      <c r="E383" s="76"/>
      <c r="F383" s="76"/>
      <c r="G383" s="77"/>
      <c r="H383" s="74"/>
      <c r="I383" s="78">
        <f>IF([1]DADOS!G364="","",[1]DADOS!G364)</f>
      </c>
      <c r="J383" s="73">
        <f>IF([1]DADOS!I364="MONOFÁSICO","X","")</f>
      </c>
      <c r="K383" s="73">
        <f>IF([1]DADOS!I364="BIFÁSICO","X","")</f>
      </c>
      <c r="L383" s="73">
        <f>IF([1]DADOS!I364="TRIFÁSICO","X","")</f>
      </c>
      <c r="M383" s="73">
        <f>IF([1]DADOS!H364="5M","X","")</f>
      </c>
      <c r="N383" s="73">
        <f>IF([1]DADOS!H364="7M","X","")</f>
      </c>
      <c r="O383" s="73">
        <f>IF([1]DADOS!H364="PP","X","")</f>
      </c>
      <c r="P383" s="73"/>
      <c r="Q383" s="73"/>
      <c r="R383" s="73"/>
      <c r="S383" s="79"/>
      <c r="T383" s="80"/>
      <c r="U383" s="78">
        <f>IF([1]DADOS!F364="","",[1]DADOS!F364)</f>
      </c>
      <c r="V383" s="81">
        <f>IF(C383="","",[1]DADOS!$D$8)</f>
      </c>
    </row>
    <row r="384" ht="21" customHeight="1" spans="2:22" x14ac:dyDescent="0.25">
      <c r="B384" s="73">
        <v>355</v>
      </c>
      <c r="C384" s="74">
        <f>IF([1]DADOS!D365="","",[1]DADOS!D365)</f>
      </c>
      <c r="D384" s="75"/>
      <c r="E384" s="76"/>
      <c r="F384" s="76"/>
      <c r="G384" s="77"/>
      <c r="H384" s="74"/>
      <c r="I384" s="78">
        <f>IF([1]DADOS!G365="","",[1]DADOS!G365)</f>
      </c>
      <c r="J384" s="73">
        <f>IF([1]DADOS!I365="MONOFÁSICO","X","")</f>
      </c>
      <c r="K384" s="73">
        <f>IF([1]DADOS!I365="BIFÁSICO","X","")</f>
      </c>
      <c r="L384" s="73">
        <f>IF([1]DADOS!I365="TRIFÁSICO","X","")</f>
      </c>
      <c r="M384" s="73">
        <f>IF([1]DADOS!H365="5M","X","")</f>
      </c>
      <c r="N384" s="73">
        <f>IF([1]DADOS!H365="7M","X","")</f>
      </c>
      <c r="O384" s="73">
        <f>IF([1]DADOS!H365="PP","X","")</f>
      </c>
      <c r="P384" s="73"/>
      <c r="Q384" s="73"/>
      <c r="R384" s="73"/>
      <c r="S384" s="79"/>
      <c r="T384" s="80"/>
      <c r="U384" s="78">
        <f>IF([1]DADOS!F365="","",[1]DADOS!F365)</f>
      </c>
      <c r="V384" s="81">
        <f>IF(C384="","",[1]DADOS!$D$8)</f>
      </c>
    </row>
    <row r="385" ht="21" customHeight="1" spans="2:22" x14ac:dyDescent="0.25">
      <c r="B385" s="73">
        <v>356</v>
      </c>
      <c r="C385" s="74">
        <f>IF([1]DADOS!D366="","",[1]DADOS!D366)</f>
      </c>
      <c r="D385" s="75"/>
      <c r="E385" s="76"/>
      <c r="F385" s="76"/>
      <c r="G385" s="77"/>
      <c r="H385" s="74"/>
      <c r="I385" s="78">
        <f>IF([1]DADOS!G366="","",[1]DADOS!G366)</f>
      </c>
      <c r="J385" s="73">
        <f>IF([1]DADOS!I366="MONOFÁSICO","X","")</f>
      </c>
      <c r="K385" s="73">
        <f>IF([1]DADOS!I366="BIFÁSICO","X","")</f>
      </c>
      <c r="L385" s="73">
        <f>IF([1]DADOS!I366="TRIFÁSICO","X","")</f>
      </c>
      <c r="M385" s="73">
        <f>IF([1]DADOS!H366="5M","X","")</f>
      </c>
      <c r="N385" s="73">
        <f>IF([1]DADOS!H366="7M","X","")</f>
      </c>
      <c r="O385" s="73">
        <f>IF([1]DADOS!H366="PP","X","")</f>
      </c>
      <c r="P385" s="73"/>
      <c r="Q385" s="73"/>
      <c r="R385" s="73"/>
      <c r="S385" s="79"/>
      <c r="T385" s="80"/>
      <c r="U385" s="78">
        <f>IF([1]DADOS!F366="","",[1]DADOS!F366)</f>
      </c>
      <c r="V385" s="81">
        <f>IF(C385="","",[1]DADOS!$D$8)</f>
      </c>
    </row>
    <row r="386" ht="21" customHeight="1" spans="2:22" x14ac:dyDescent="0.25">
      <c r="B386" s="73">
        <v>357</v>
      </c>
      <c r="C386" s="74">
        <f>IF([1]DADOS!D367="","",[1]DADOS!D367)</f>
      </c>
      <c r="D386" s="75"/>
      <c r="E386" s="76"/>
      <c r="F386" s="76"/>
      <c r="G386" s="77"/>
      <c r="H386" s="74"/>
      <c r="I386" s="78">
        <f>IF([1]DADOS!G367="","",[1]DADOS!G367)</f>
      </c>
      <c r="J386" s="73">
        <f>IF([1]DADOS!I367="MONOFÁSICO","X","")</f>
      </c>
      <c r="K386" s="73">
        <f>IF([1]DADOS!I367="BIFÁSICO","X","")</f>
      </c>
      <c r="L386" s="73">
        <f>IF([1]DADOS!I367="TRIFÁSICO","X","")</f>
      </c>
      <c r="M386" s="73">
        <f>IF([1]DADOS!H367="5M","X","")</f>
      </c>
      <c r="N386" s="73">
        <f>IF([1]DADOS!H367="7M","X","")</f>
      </c>
      <c r="O386" s="73">
        <f>IF([1]DADOS!H367="PP","X","")</f>
      </c>
      <c r="P386" s="73"/>
      <c r="Q386" s="73"/>
      <c r="R386" s="73"/>
      <c r="S386" s="79"/>
      <c r="T386" s="80"/>
      <c r="U386" s="78">
        <f>IF([1]DADOS!F367="","",[1]DADOS!F367)</f>
      </c>
      <c r="V386" s="81">
        <f>IF(C386="","",[1]DADOS!$D$8)</f>
      </c>
    </row>
    <row r="387" ht="21" customHeight="1" spans="2:22" x14ac:dyDescent="0.25">
      <c r="B387" s="73">
        <v>358</v>
      </c>
      <c r="C387" s="74">
        <f>IF([1]DADOS!D368="","",[1]DADOS!D368)</f>
      </c>
      <c r="D387" s="75"/>
      <c r="E387" s="76"/>
      <c r="F387" s="76"/>
      <c r="G387" s="77"/>
      <c r="H387" s="74"/>
      <c r="I387" s="78">
        <f>IF([1]DADOS!G368="","",[1]DADOS!G368)</f>
      </c>
      <c r="J387" s="73">
        <f>IF([1]DADOS!I368="MONOFÁSICO","X","")</f>
      </c>
      <c r="K387" s="73">
        <f>IF([1]DADOS!I368="BIFÁSICO","X","")</f>
      </c>
      <c r="L387" s="73">
        <f>IF([1]DADOS!I368="TRIFÁSICO","X","")</f>
      </c>
      <c r="M387" s="73">
        <f>IF([1]DADOS!H368="5M","X","")</f>
      </c>
      <c r="N387" s="73">
        <f>IF([1]DADOS!H368="7M","X","")</f>
      </c>
      <c r="O387" s="73">
        <f>IF([1]DADOS!H368="PP","X","")</f>
      </c>
      <c r="P387" s="73"/>
      <c r="Q387" s="73"/>
      <c r="R387" s="73"/>
      <c r="S387" s="79"/>
      <c r="T387" s="80"/>
      <c r="U387" s="78">
        <f>IF([1]DADOS!F368="","",[1]DADOS!F368)</f>
      </c>
      <c r="V387" s="81">
        <f>IF(C387="","",[1]DADOS!$D$8)</f>
      </c>
    </row>
    <row r="388" ht="21" customHeight="1" spans="2:22" x14ac:dyDescent="0.25">
      <c r="B388" s="73">
        <v>359</v>
      </c>
      <c r="C388" s="74">
        <f>IF([1]DADOS!D369="","",[1]DADOS!D369)</f>
      </c>
      <c r="D388" s="75"/>
      <c r="E388" s="76"/>
      <c r="F388" s="76"/>
      <c r="G388" s="77"/>
      <c r="H388" s="74"/>
      <c r="I388" s="78">
        <f>IF([1]DADOS!G369="","",[1]DADOS!G369)</f>
      </c>
      <c r="J388" s="73">
        <f>IF([1]DADOS!I369="MONOFÁSICO","X","")</f>
      </c>
      <c r="K388" s="73">
        <f>IF([1]DADOS!I369="BIFÁSICO","X","")</f>
      </c>
      <c r="L388" s="73">
        <f>IF([1]DADOS!I369="TRIFÁSICO","X","")</f>
      </c>
      <c r="M388" s="73">
        <f>IF([1]DADOS!H369="5M","X","")</f>
      </c>
      <c r="N388" s="73">
        <f>IF([1]DADOS!H369="7M","X","")</f>
      </c>
      <c r="O388" s="73">
        <f>IF([1]DADOS!H369="PP","X","")</f>
      </c>
      <c r="P388" s="73"/>
      <c r="Q388" s="73"/>
      <c r="R388" s="73"/>
      <c r="S388" s="79"/>
      <c r="T388" s="80"/>
      <c r="U388" s="78">
        <f>IF([1]DADOS!F369="","",[1]DADOS!F369)</f>
      </c>
      <c r="V388" s="81">
        <f>IF(C388="","",[1]DADOS!$D$8)</f>
      </c>
    </row>
    <row r="389" ht="21" customHeight="1" spans="2:22" x14ac:dyDescent="0.25">
      <c r="B389" s="73">
        <v>360</v>
      </c>
      <c r="C389" s="74">
        <f>IF([1]DADOS!D370="","",[1]DADOS!D370)</f>
      </c>
      <c r="D389" s="75"/>
      <c r="E389" s="76"/>
      <c r="F389" s="76"/>
      <c r="G389" s="77"/>
      <c r="H389" s="74"/>
      <c r="I389" s="78">
        <f>IF([1]DADOS!G370="","",[1]DADOS!G370)</f>
      </c>
      <c r="J389" s="73">
        <f>IF([1]DADOS!I370="MONOFÁSICO","X","")</f>
      </c>
      <c r="K389" s="73">
        <f>IF([1]DADOS!I370="BIFÁSICO","X","")</f>
      </c>
      <c r="L389" s="73">
        <f>IF([1]DADOS!I370="TRIFÁSICO","X","")</f>
      </c>
      <c r="M389" s="73">
        <f>IF([1]DADOS!H370="5M","X","")</f>
      </c>
      <c r="N389" s="73">
        <f>IF([1]DADOS!H370="7M","X","")</f>
      </c>
      <c r="O389" s="73">
        <f>IF([1]DADOS!H370="PP","X","")</f>
      </c>
      <c r="P389" s="73"/>
      <c r="Q389" s="73"/>
      <c r="R389" s="73"/>
      <c r="S389" s="79"/>
      <c r="T389" s="80"/>
      <c r="U389" s="78">
        <f>IF([1]DADOS!F370="","",[1]DADOS!F370)</f>
      </c>
      <c r="V389" s="81">
        <f>IF(C389="","",[1]DADOS!$D$8)</f>
      </c>
    </row>
    <row r="390" ht="21" customHeight="1" spans="2:22" x14ac:dyDescent="0.25">
      <c r="B390" s="73">
        <v>361</v>
      </c>
      <c r="C390" s="74">
        <f>IF([1]DADOS!D371="","",[1]DADOS!D371)</f>
      </c>
      <c r="D390" s="75"/>
      <c r="E390" s="76"/>
      <c r="F390" s="76"/>
      <c r="G390" s="77"/>
      <c r="H390" s="74"/>
      <c r="I390" s="78">
        <f>IF([1]DADOS!G371="","",[1]DADOS!G371)</f>
      </c>
      <c r="J390" s="73">
        <f>IF([1]DADOS!I371="MONOFÁSICO","X","")</f>
      </c>
      <c r="K390" s="73">
        <f>IF([1]DADOS!I371="BIFÁSICO","X","")</f>
      </c>
      <c r="L390" s="73">
        <f>IF([1]DADOS!I371="TRIFÁSICO","X","")</f>
      </c>
      <c r="M390" s="73">
        <f>IF([1]DADOS!H371="5M","X","")</f>
      </c>
      <c r="N390" s="73">
        <f>IF([1]DADOS!H371="7M","X","")</f>
      </c>
      <c r="O390" s="73">
        <f>IF([1]DADOS!H371="PP","X","")</f>
      </c>
      <c r="P390" s="73"/>
      <c r="Q390" s="73"/>
      <c r="R390" s="73"/>
      <c r="S390" s="79"/>
      <c r="T390" s="80"/>
      <c r="U390" s="78">
        <f>IF([1]DADOS!F371="","",[1]DADOS!F371)</f>
      </c>
      <c r="V390" s="81">
        <f>IF(C390="","",[1]DADOS!$D$8)</f>
      </c>
    </row>
    <row r="391" ht="21" customHeight="1" spans="2:22" x14ac:dyDescent="0.25">
      <c r="B391" s="73">
        <v>362</v>
      </c>
      <c r="C391" s="74">
        <f>IF([1]DADOS!D372="","",[1]DADOS!D372)</f>
      </c>
      <c r="D391" s="75"/>
      <c r="E391" s="76"/>
      <c r="F391" s="76"/>
      <c r="G391" s="77"/>
      <c r="H391" s="74"/>
      <c r="I391" s="78">
        <f>IF([1]DADOS!G372="","",[1]DADOS!G372)</f>
      </c>
      <c r="J391" s="73">
        <f>IF([1]DADOS!I372="MONOFÁSICO","X","")</f>
      </c>
      <c r="K391" s="73">
        <f>IF([1]DADOS!I372="BIFÁSICO","X","")</f>
      </c>
      <c r="L391" s="73">
        <f>IF([1]DADOS!I372="TRIFÁSICO","X","")</f>
      </c>
      <c r="M391" s="73">
        <f>IF([1]DADOS!H372="5M","X","")</f>
      </c>
      <c r="N391" s="73">
        <f>IF([1]DADOS!H372="7M","X","")</f>
      </c>
      <c r="O391" s="73">
        <f>IF([1]DADOS!H372="PP","X","")</f>
      </c>
      <c r="P391" s="73"/>
      <c r="Q391" s="73"/>
      <c r="R391" s="73"/>
      <c r="S391" s="79"/>
      <c r="T391" s="80"/>
      <c r="U391" s="78">
        <f>IF([1]DADOS!F372="","",[1]DADOS!F372)</f>
      </c>
      <c r="V391" s="81">
        <f>IF(C391="","",[1]DADOS!$D$8)</f>
      </c>
    </row>
    <row r="392" ht="21" customHeight="1" spans="2:22" x14ac:dyDescent="0.25">
      <c r="B392" s="73">
        <v>363</v>
      </c>
      <c r="C392" s="74">
        <f>IF([1]DADOS!D373="","",[1]DADOS!D373)</f>
      </c>
      <c r="D392" s="75"/>
      <c r="E392" s="76"/>
      <c r="F392" s="76"/>
      <c r="G392" s="77"/>
      <c r="H392" s="74"/>
      <c r="I392" s="78">
        <f>IF([1]DADOS!G373="","",[1]DADOS!G373)</f>
      </c>
      <c r="J392" s="73">
        <f>IF([1]DADOS!I373="MONOFÁSICO","X","")</f>
      </c>
      <c r="K392" s="73">
        <f>IF([1]DADOS!I373="BIFÁSICO","X","")</f>
      </c>
      <c r="L392" s="73">
        <f>IF([1]DADOS!I373="TRIFÁSICO","X","")</f>
      </c>
      <c r="M392" s="73">
        <f>IF([1]DADOS!H373="5M","X","")</f>
      </c>
      <c r="N392" s="73">
        <f>IF([1]DADOS!H373="7M","X","")</f>
      </c>
      <c r="O392" s="73">
        <f>IF([1]DADOS!H373="PP","X","")</f>
      </c>
      <c r="P392" s="73"/>
      <c r="Q392" s="73"/>
      <c r="R392" s="73"/>
      <c r="S392" s="79"/>
      <c r="T392" s="80"/>
      <c r="U392" s="78">
        <f>IF([1]DADOS!F373="","",[1]DADOS!F373)</f>
      </c>
      <c r="V392" s="81">
        <f>IF(C392="","",[1]DADOS!$D$8)</f>
      </c>
    </row>
    <row r="393" ht="21" customHeight="1" spans="2:22" x14ac:dyDescent="0.25">
      <c r="B393" s="73">
        <v>364</v>
      </c>
      <c r="C393" s="74">
        <f>IF([1]DADOS!D374="","",[1]DADOS!D374)</f>
      </c>
      <c r="D393" s="75"/>
      <c r="E393" s="76"/>
      <c r="F393" s="76"/>
      <c r="G393" s="77"/>
      <c r="H393" s="74"/>
      <c r="I393" s="78">
        <f>IF([1]DADOS!G374="","",[1]DADOS!G374)</f>
      </c>
      <c r="J393" s="73">
        <f>IF([1]DADOS!I374="MONOFÁSICO","X","")</f>
      </c>
      <c r="K393" s="73">
        <f>IF([1]DADOS!I374="BIFÁSICO","X","")</f>
      </c>
      <c r="L393" s="73">
        <f>IF([1]DADOS!I374="TRIFÁSICO","X","")</f>
      </c>
      <c r="M393" s="73">
        <f>IF([1]DADOS!H374="5M","X","")</f>
      </c>
      <c r="N393" s="73">
        <f>IF([1]DADOS!H374="7M","X","")</f>
      </c>
      <c r="O393" s="73">
        <f>IF([1]DADOS!H374="PP","X","")</f>
      </c>
      <c r="P393" s="73"/>
      <c r="Q393" s="73"/>
      <c r="R393" s="73"/>
      <c r="S393" s="79"/>
      <c r="T393" s="80"/>
      <c r="U393" s="78">
        <f>IF([1]DADOS!F374="","",[1]DADOS!F374)</f>
      </c>
      <c r="V393" s="81">
        <f>IF(C393="","",[1]DADOS!$D$8)</f>
      </c>
    </row>
    <row r="394" ht="21" customHeight="1" spans="2:22" x14ac:dyDescent="0.25">
      <c r="B394" s="73">
        <v>365</v>
      </c>
      <c r="C394" s="74">
        <f>IF([1]DADOS!D375="","",[1]DADOS!D375)</f>
      </c>
      <c r="D394" s="75"/>
      <c r="E394" s="76"/>
      <c r="F394" s="76"/>
      <c r="G394" s="77"/>
      <c r="H394" s="74"/>
      <c r="I394" s="78">
        <f>IF([1]DADOS!G375="","",[1]DADOS!G375)</f>
      </c>
      <c r="J394" s="73">
        <f>IF([1]DADOS!I375="MONOFÁSICO","X","")</f>
      </c>
      <c r="K394" s="73">
        <f>IF([1]DADOS!I375="BIFÁSICO","X","")</f>
      </c>
      <c r="L394" s="73">
        <f>IF([1]DADOS!I375="TRIFÁSICO","X","")</f>
      </c>
      <c r="M394" s="73">
        <f>IF([1]DADOS!H375="5M","X","")</f>
      </c>
      <c r="N394" s="73">
        <f>IF([1]DADOS!H375="7M","X","")</f>
      </c>
      <c r="O394" s="73">
        <f>IF([1]DADOS!H375="PP","X","")</f>
      </c>
      <c r="P394" s="73"/>
      <c r="Q394" s="73"/>
      <c r="R394" s="73"/>
      <c r="S394" s="79"/>
      <c r="T394" s="80"/>
      <c r="U394" s="78">
        <f>IF([1]DADOS!F375="","",[1]DADOS!F375)</f>
      </c>
      <c r="V394" s="81">
        <f>IF(C394="","",[1]DADOS!$D$8)</f>
      </c>
    </row>
    <row r="395" ht="21" customHeight="1" spans="2:22" x14ac:dyDescent="0.25">
      <c r="B395" s="73">
        <v>366</v>
      </c>
      <c r="C395" s="74">
        <f>IF([1]DADOS!D376="","",[1]DADOS!D376)</f>
      </c>
      <c r="D395" s="75"/>
      <c r="E395" s="76"/>
      <c r="F395" s="76"/>
      <c r="G395" s="77"/>
      <c r="H395" s="74"/>
      <c r="I395" s="78">
        <f>IF([1]DADOS!G376="","",[1]DADOS!G376)</f>
      </c>
      <c r="J395" s="73">
        <f>IF([1]DADOS!I376="MONOFÁSICO","X","")</f>
      </c>
      <c r="K395" s="73">
        <f>IF([1]DADOS!I376="BIFÁSICO","X","")</f>
      </c>
      <c r="L395" s="73">
        <f>IF([1]DADOS!I376="TRIFÁSICO","X","")</f>
      </c>
      <c r="M395" s="73">
        <f>IF([1]DADOS!H376="5M","X","")</f>
      </c>
      <c r="N395" s="73">
        <f>IF([1]DADOS!H376="7M","X","")</f>
      </c>
      <c r="O395" s="73">
        <f>IF([1]DADOS!H376="PP","X","")</f>
      </c>
      <c r="P395" s="73"/>
      <c r="Q395" s="73"/>
      <c r="R395" s="73"/>
      <c r="S395" s="79"/>
      <c r="T395" s="80"/>
      <c r="U395" s="78">
        <f>IF([1]DADOS!F376="","",[1]DADOS!F376)</f>
      </c>
      <c r="V395" s="81">
        <f>IF(C395="","",[1]DADOS!$D$8)</f>
      </c>
    </row>
    <row r="396" ht="21" customHeight="1" spans="2:22" x14ac:dyDescent="0.25">
      <c r="B396" s="73">
        <v>367</v>
      </c>
      <c r="C396" s="74">
        <f>IF([1]DADOS!D377="","",[1]DADOS!D377)</f>
      </c>
      <c r="D396" s="75"/>
      <c r="E396" s="76"/>
      <c r="F396" s="76"/>
      <c r="G396" s="77"/>
      <c r="H396" s="74"/>
      <c r="I396" s="78">
        <f>IF([1]DADOS!G377="","",[1]DADOS!G377)</f>
      </c>
      <c r="J396" s="73">
        <f>IF([1]DADOS!I377="MONOFÁSICO","X","")</f>
      </c>
      <c r="K396" s="73">
        <f>IF([1]DADOS!I377="BIFÁSICO","X","")</f>
      </c>
      <c r="L396" s="73">
        <f>IF([1]DADOS!I377="TRIFÁSICO","X","")</f>
      </c>
      <c r="M396" s="73">
        <f>IF([1]DADOS!H377="5M","X","")</f>
      </c>
      <c r="N396" s="73">
        <f>IF([1]DADOS!H377="7M","X","")</f>
      </c>
      <c r="O396" s="73">
        <f>IF([1]DADOS!H377="PP","X","")</f>
      </c>
      <c r="P396" s="73"/>
      <c r="Q396" s="73"/>
      <c r="R396" s="73"/>
      <c r="S396" s="79"/>
      <c r="T396" s="80"/>
      <c r="U396" s="78">
        <f>IF([1]DADOS!F377="","",[1]DADOS!F377)</f>
      </c>
      <c r="V396" s="81">
        <f>IF(C396="","",[1]DADOS!$D$8)</f>
      </c>
    </row>
    <row r="397" ht="21" customHeight="1" spans="2:22" x14ac:dyDescent="0.25">
      <c r="B397" s="73">
        <v>368</v>
      </c>
      <c r="C397" s="74">
        <f>IF([1]DADOS!D378="","",[1]DADOS!D378)</f>
      </c>
      <c r="D397" s="75"/>
      <c r="E397" s="76"/>
      <c r="F397" s="76"/>
      <c r="G397" s="77"/>
      <c r="H397" s="74"/>
      <c r="I397" s="78">
        <f>IF([1]DADOS!G378="","",[1]DADOS!G378)</f>
      </c>
      <c r="J397" s="73">
        <f>IF([1]DADOS!I378="MONOFÁSICO","X","")</f>
      </c>
      <c r="K397" s="73">
        <f>IF([1]DADOS!I378="BIFÁSICO","X","")</f>
      </c>
      <c r="L397" s="73">
        <f>IF([1]DADOS!I378="TRIFÁSICO","X","")</f>
      </c>
      <c r="M397" s="73">
        <f>IF([1]DADOS!H378="5M","X","")</f>
      </c>
      <c r="N397" s="73">
        <f>IF([1]DADOS!H378="7M","X","")</f>
      </c>
      <c r="O397" s="73">
        <f>IF([1]DADOS!H378="PP","X","")</f>
      </c>
      <c r="P397" s="73"/>
      <c r="Q397" s="73"/>
      <c r="R397" s="73"/>
      <c r="S397" s="79"/>
      <c r="T397" s="80"/>
      <c r="U397" s="78">
        <f>IF([1]DADOS!F378="","",[1]DADOS!F378)</f>
      </c>
      <c r="V397" s="81">
        <f>IF(C397="","",[1]DADOS!$D$8)</f>
      </c>
    </row>
    <row r="398" ht="21" customHeight="1" spans="2:22" x14ac:dyDescent="0.25">
      <c r="B398" s="73">
        <v>369</v>
      </c>
      <c r="C398" s="74">
        <f>IF([1]DADOS!D379="","",[1]DADOS!D379)</f>
      </c>
      <c r="D398" s="75"/>
      <c r="E398" s="76"/>
      <c r="F398" s="76"/>
      <c r="G398" s="77"/>
      <c r="H398" s="74"/>
      <c r="I398" s="78">
        <f>IF([1]DADOS!G379="","",[1]DADOS!G379)</f>
      </c>
      <c r="J398" s="73">
        <f>IF([1]DADOS!I379="MONOFÁSICO","X","")</f>
      </c>
      <c r="K398" s="73">
        <f>IF([1]DADOS!I379="BIFÁSICO","X","")</f>
      </c>
      <c r="L398" s="73">
        <f>IF([1]DADOS!I379="TRIFÁSICO","X","")</f>
      </c>
      <c r="M398" s="73">
        <f>IF([1]DADOS!H379="5M","X","")</f>
      </c>
      <c r="N398" s="73">
        <f>IF([1]DADOS!H379="7M","X","")</f>
      </c>
      <c r="O398" s="73">
        <f>IF([1]DADOS!H379="PP","X","")</f>
      </c>
      <c r="P398" s="73"/>
      <c r="Q398" s="73"/>
      <c r="R398" s="73"/>
      <c r="S398" s="79"/>
      <c r="T398" s="80"/>
      <c r="U398" s="78">
        <f>IF([1]DADOS!F379="","",[1]DADOS!F379)</f>
      </c>
      <c r="V398" s="81">
        <f>IF(C398="","",[1]DADOS!$D$8)</f>
      </c>
    </row>
    <row r="399" ht="21" customHeight="1" spans="2:22" x14ac:dyDescent="0.25">
      <c r="B399" s="73">
        <v>370</v>
      </c>
      <c r="C399" s="74">
        <f>IF([1]DADOS!D380="","",[1]DADOS!D380)</f>
      </c>
      <c r="D399" s="75"/>
      <c r="E399" s="76"/>
      <c r="F399" s="76"/>
      <c r="G399" s="77"/>
      <c r="H399" s="74"/>
      <c r="I399" s="78">
        <f>IF([1]DADOS!G380="","",[1]DADOS!G380)</f>
      </c>
      <c r="J399" s="73">
        <f>IF([1]DADOS!I380="MONOFÁSICO","X","")</f>
      </c>
      <c r="K399" s="73">
        <f>IF([1]DADOS!I380="BIFÁSICO","X","")</f>
      </c>
      <c r="L399" s="73">
        <f>IF([1]DADOS!I380="TRIFÁSICO","X","")</f>
      </c>
      <c r="M399" s="73">
        <f>IF([1]DADOS!H380="5M","X","")</f>
      </c>
      <c r="N399" s="73">
        <f>IF([1]DADOS!H380="7M","X","")</f>
      </c>
      <c r="O399" s="73">
        <f>IF([1]DADOS!H380="PP","X","")</f>
      </c>
      <c r="P399" s="73"/>
      <c r="Q399" s="73"/>
      <c r="R399" s="73"/>
      <c r="S399" s="79"/>
      <c r="T399" s="80"/>
      <c r="U399" s="78">
        <f>IF([1]DADOS!F380="","",[1]DADOS!F380)</f>
      </c>
      <c r="V399" s="81">
        <f>IF(C399="","",[1]DADOS!$D$8)</f>
      </c>
    </row>
    <row r="400" ht="21" customHeight="1" spans="2:22" x14ac:dyDescent="0.25">
      <c r="B400" s="73">
        <v>371</v>
      </c>
      <c r="C400" s="74">
        <f>IF([1]DADOS!D381="","",[1]DADOS!D381)</f>
      </c>
      <c r="D400" s="75"/>
      <c r="E400" s="76"/>
      <c r="F400" s="76"/>
      <c r="G400" s="77"/>
      <c r="H400" s="74"/>
      <c r="I400" s="78">
        <f>IF([1]DADOS!G381="","",[1]DADOS!G381)</f>
      </c>
      <c r="J400" s="73">
        <f>IF([1]DADOS!I381="MONOFÁSICO","X","")</f>
      </c>
      <c r="K400" s="73">
        <f>IF([1]DADOS!I381="BIFÁSICO","X","")</f>
      </c>
      <c r="L400" s="73">
        <f>IF([1]DADOS!I381="TRIFÁSICO","X","")</f>
      </c>
      <c r="M400" s="73">
        <f>IF([1]DADOS!H381="5M","X","")</f>
      </c>
      <c r="N400" s="73">
        <f>IF([1]DADOS!H381="7M","X","")</f>
      </c>
      <c r="O400" s="73">
        <f>IF([1]DADOS!H381="PP","X","")</f>
      </c>
      <c r="P400" s="73"/>
      <c r="Q400" s="73"/>
      <c r="R400" s="73"/>
      <c r="S400" s="79"/>
      <c r="T400" s="80"/>
      <c r="U400" s="78">
        <f>IF([1]DADOS!F381="","",[1]DADOS!F381)</f>
      </c>
      <c r="V400" s="81">
        <f>IF(C400="","",[1]DADOS!$D$8)</f>
      </c>
    </row>
    <row r="401" ht="21" customHeight="1" spans="2:22" x14ac:dyDescent="0.25">
      <c r="B401" s="73">
        <v>372</v>
      </c>
      <c r="C401" s="74">
        <f>IF([1]DADOS!D382="","",[1]DADOS!D382)</f>
      </c>
      <c r="D401" s="75"/>
      <c r="E401" s="76"/>
      <c r="F401" s="76"/>
      <c r="G401" s="77"/>
      <c r="H401" s="74"/>
      <c r="I401" s="78">
        <f>IF([1]DADOS!G382="","",[1]DADOS!G382)</f>
      </c>
      <c r="J401" s="73">
        <f>IF([1]DADOS!I382="MONOFÁSICO","X","")</f>
      </c>
      <c r="K401" s="73">
        <f>IF([1]DADOS!I382="BIFÁSICO","X","")</f>
      </c>
      <c r="L401" s="73">
        <f>IF([1]DADOS!I382="TRIFÁSICO","X","")</f>
      </c>
      <c r="M401" s="73">
        <f>IF([1]DADOS!H382="5M","X","")</f>
      </c>
      <c r="N401" s="73">
        <f>IF([1]DADOS!H382="7M","X","")</f>
      </c>
      <c r="O401" s="73">
        <f>IF([1]DADOS!H382="PP","X","")</f>
      </c>
      <c r="P401" s="73"/>
      <c r="Q401" s="73"/>
      <c r="R401" s="73"/>
      <c r="S401" s="79"/>
      <c r="T401" s="80"/>
      <c r="U401" s="78">
        <f>IF([1]DADOS!F382="","",[1]DADOS!F382)</f>
      </c>
      <c r="V401" s="81">
        <f>IF(C401="","",[1]DADOS!$D$8)</f>
      </c>
    </row>
    <row r="402" ht="21" customHeight="1" spans="2:22" x14ac:dyDescent="0.25">
      <c r="B402" s="73">
        <v>373</v>
      </c>
      <c r="C402" s="74">
        <f>IF([1]DADOS!D383="","",[1]DADOS!D383)</f>
      </c>
      <c r="D402" s="75"/>
      <c r="E402" s="76"/>
      <c r="F402" s="76"/>
      <c r="G402" s="77"/>
      <c r="H402" s="74"/>
      <c r="I402" s="78">
        <f>IF([1]DADOS!G383="","",[1]DADOS!G383)</f>
      </c>
      <c r="J402" s="73">
        <f>IF([1]DADOS!I383="MONOFÁSICO","X","")</f>
      </c>
      <c r="K402" s="73">
        <f>IF([1]DADOS!I383="BIFÁSICO","X","")</f>
      </c>
      <c r="L402" s="73">
        <f>IF([1]DADOS!I383="TRIFÁSICO","X","")</f>
      </c>
      <c r="M402" s="73">
        <f>IF([1]DADOS!H383="5M","X","")</f>
      </c>
      <c r="N402" s="73">
        <f>IF([1]DADOS!H383="7M","X","")</f>
      </c>
      <c r="O402" s="73">
        <f>IF([1]DADOS!H383="PP","X","")</f>
      </c>
      <c r="P402" s="73"/>
      <c r="Q402" s="73"/>
      <c r="R402" s="73"/>
      <c r="S402" s="79"/>
      <c r="T402" s="80"/>
      <c r="U402" s="78">
        <f>IF([1]DADOS!F383="","",[1]DADOS!F383)</f>
      </c>
      <c r="V402" s="81">
        <f>IF(C402="","",[1]DADOS!$D$8)</f>
      </c>
    </row>
    <row r="403" ht="21" customHeight="1" spans="2:22" x14ac:dyDescent="0.25">
      <c r="B403" s="73">
        <v>374</v>
      </c>
      <c r="C403" s="74">
        <f>IF([1]DADOS!D384="","",[1]DADOS!D384)</f>
      </c>
      <c r="D403" s="75"/>
      <c r="E403" s="76"/>
      <c r="F403" s="76"/>
      <c r="G403" s="77"/>
      <c r="H403" s="74"/>
      <c r="I403" s="78">
        <f>IF([1]DADOS!G384="","",[1]DADOS!G384)</f>
      </c>
      <c r="J403" s="73">
        <f>IF([1]DADOS!I384="MONOFÁSICO","X","")</f>
      </c>
      <c r="K403" s="73">
        <f>IF([1]DADOS!I384="BIFÁSICO","X","")</f>
      </c>
      <c r="L403" s="73">
        <f>IF([1]DADOS!I384="TRIFÁSICO","X","")</f>
      </c>
      <c r="M403" s="73">
        <f>IF([1]DADOS!H384="5M","X","")</f>
      </c>
      <c r="N403" s="73">
        <f>IF([1]DADOS!H384="7M","X","")</f>
      </c>
      <c r="O403" s="73">
        <f>IF([1]DADOS!H384="PP","X","")</f>
      </c>
      <c r="P403" s="73"/>
      <c r="Q403" s="73"/>
      <c r="R403" s="73"/>
      <c r="S403" s="79"/>
      <c r="T403" s="80"/>
      <c r="U403" s="78">
        <f>IF([1]DADOS!F384="","",[1]DADOS!F384)</f>
      </c>
      <c r="V403" s="81">
        <f>IF(C403="","",[1]DADOS!$D$8)</f>
      </c>
    </row>
    <row r="404" ht="21" customHeight="1" spans="2:22" x14ac:dyDescent="0.25">
      <c r="B404" s="73">
        <v>375</v>
      </c>
      <c r="C404" s="74">
        <f>IF([1]DADOS!D385="","",[1]DADOS!D385)</f>
      </c>
      <c r="D404" s="75"/>
      <c r="E404" s="76"/>
      <c r="F404" s="76"/>
      <c r="G404" s="77"/>
      <c r="H404" s="74"/>
      <c r="I404" s="78">
        <f>IF([1]DADOS!G385="","",[1]DADOS!G385)</f>
      </c>
      <c r="J404" s="73">
        <f>IF([1]DADOS!I385="MONOFÁSICO","X","")</f>
      </c>
      <c r="K404" s="73">
        <f>IF([1]DADOS!I385="BIFÁSICO","X","")</f>
      </c>
      <c r="L404" s="73">
        <f>IF([1]DADOS!I385="TRIFÁSICO","X","")</f>
      </c>
      <c r="M404" s="73">
        <f>IF([1]DADOS!H385="5M","X","")</f>
      </c>
      <c r="N404" s="73">
        <f>IF([1]DADOS!H385="7M","X","")</f>
      </c>
      <c r="O404" s="73">
        <f>IF([1]DADOS!H385="PP","X","")</f>
      </c>
      <c r="P404" s="73"/>
      <c r="Q404" s="73"/>
      <c r="R404" s="73"/>
      <c r="S404" s="79"/>
      <c r="T404" s="80"/>
      <c r="U404" s="78">
        <f>IF([1]DADOS!F385="","",[1]DADOS!F385)</f>
      </c>
      <c r="V404" s="81">
        <f>IF(C404="","",[1]DADOS!$D$8)</f>
      </c>
    </row>
    <row r="405" ht="21" customHeight="1" spans="2:22" x14ac:dyDescent="0.25">
      <c r="B405" s="73">
        <v>376</v>
      </c>
      <c r="C405" s="74">
        <f>IF([1]DADOS!D386="","",[1]DADOS!D386)</f>
      </c>
      <c r="D405" s="75"/>
      <c r="E405" s="76"/>
      <c r="F405" s="76"/>
      <c r="G405" s="77"/>
      <c r="H405" s="74"/>
      <c r="I405" s="78">
        <f>IF([1]DADOS!G386="","",[1]DADOS!G386)</f>
      </c>
      <c r="J405" s="73">
        <f>IF([1]DADOS!I386="MONOFÁSICO","X","")</f>
      </c>
      <c r="K405" s="73">
        <f>IF([1]DADOS!I386="BIFÁSICO","X","")</f>
      </c>
      <c r="L405" s="73">
        <f>IF([1]DADOS!I386="TRIFÁSICO","X","")</f>
      </c>
      <c r="M405" s="73">
        <f>IF([1]DADOS!H386="5M","X","")</f>
      </c>
      <c r="N405" s="73">
        <f>IF([1]DADOS!H386="7M","X","")</f>
      </c>
      <c r="O405" s="73">
        <f>IF([1]DADOS!H386="PP","X","")</f>
      </c>
      <c r="P405" s="73"/>
      <c r="Q405" s="73"/>
      <c r="R405" s="73"/>
      <c r="S405" s="79"/>
      <c r="T405" s="80"/>
      <c r="U405" s="78">
        <f>IF([1]DADOS!F386="","",[1]DADOS!F386)</f>
      </c>
      <c r="V405" s="81">
        <f>IF(C405="","",[1]DADOS!$D$8)</f>
      </c>
    </row>
    <row r="406" ht="21" customHeight="1" spans="2:22" x14ac:dyDescent="0.25">
      <c r="B406" s="73">
        <v>377</v>
      </c>
      <c r="C406" s="74">
        <f>IF([1]DADOS!D387="","",[1]DADOS!D387)</f>
      </c>
      <c r="D406" s="75"/>
      <c r="E406" s="76"/>
      <c r="F406" s="76"/>
      <c r="G406" s="77"/>
      <c r="H406" s="74"/>
      <c r="I406" s="78">
        <f>IF([1]DADOS!G387="","",[1]DADOS!G387)</f>
      </c>
      <c r="J406" s="73">
        <f>IF([1]DADOS!I387="MONOFÁSICO","X","")</f>
      </c>
      <c r="K406" s="73">
        <f>IF([1]DADOS!I387="BIFÁSICO","X","")</f>
      </c>
      <c r="L406" s="73">
        <f>IF([1]DADOS!I387="TRIFÁSICO","X","")</f>
      </c>
      <c r="M406" s="73">
        <f>IF([1]DADOS!H387="5M","X","")</f>
      </c>
      <c r="N406" s="73">
        <f>IF([1]DADOS!H387="7M","X","")</f>
      </c>
      <c r="O406" s="73">
        <f>IF([1]DADOS!H387="PP","X","")</f>
      </c>
      <c r="P406" s="73"/>
      <c r="Q406" s="73"/>
      <c r="R406" s="73"/>
      <c r="S406" s="79"/>
      <c r="T406" s="80"/>
      <c r="U406" s="78">
        <f>IF([1]DADOS!F387="","",[1]DADOS!F387)</f>
      </c>
      <c r="V406" s="81">
        <f>IF(C406="","",[1]DADOS!$D$8)</f>
      </c>
    </row>
    <row r="407" ht="21" customHeight="1" spans="2:22" x14ac:dyDescent="0.25">
      <c r="B407" s="73">
        <v>378</v>
      </c>
      <c r="C407" s="74">
        <f>IF([1]DADOS!D388="","",[1]DADOS!D388)</f>
      </c>
      <c r="D407" s="75"/>
      <c r="E407" s="76"/>
      <c r="F407" s="76"/>
      <c r="G407" s="77"/>
      <c r="H407" s="74"/>
      <c r="I407" s="78">
        <f>IF([1]DADOS!G388="","",[1]DADOS!G388)</f>
      </c>
      <c r="J407" s="73">
        <f>IF([1]DADOS!I388="MONOFÁSICO","X","")</f>
      </c>
      <c r="K407" s="73">
        <f>IF([1]DADOS!I388="BIFÁSICO","X","")</f>
      </c>
      <c r="L407" s="73">
        <f>IF([1]DADOS!I388="TRIFÁSICO","X","")</f>
      </c>
      <c r="M407" s="73">
        <f>IF([1]DADOS!H388="5M","X","")</f>
      </c>
      <c r="N407" s="73">
        <f>IF([1]DADOS!H388="7M","X","")</f>
      </c>
      <c r="O407" s="73">
        <f>IF([1]DADOS!H388="PP","X","")</f>
      </c>
      <c r="P407" s="73"/>
      <c r="Q407" s="73"/>
      <c r="R407" s="73"/>
      <c r="S407" s="79"/>
      <c r="T407" s="80"/>
      <c r="U407" s="78">
        <f>IF([1]DADOS!F388="","",[1]DADOS!F388)</f>
      </c>
      <c r="V407" s="81">
        <f>IF(C407="","",[1]DADOS!$D$8)</f>
      </c>
    </row>
    <row r="408" ht="21" customHeight="1" spans="2:22" x14ac:dyDescent="0.25">
      <c r="B408" s="73">
        <v>379</v>
      </c>
      <c r="C408" s="74">
        <f>IF([1]DADOS!D389="","",[1]DADOS!D389)</f>
      </c>
      <c r="D408" s="75"/>
      <c r="E408" s="76"/>
      <c r="F408" s="76"/>
      <c r="G408" s="77"/>
      <c r="H408" s="74"/>
      <c r="I408" s="78">
        <f>IF([1]DADOS!G389="","",[1]DADOS!G389)</f>
      </c>
      <c r="J408" s="73">
        <f>IF([1]DADOS!I389="MONOFÁSICO","X","")</f>
      </c>
      <c r="K408" s="73">
        <f>IF([1]DADOS!I389="BIFÁSICO","X","")</f>
      </c>
      <c r="L408" s="73">
        <f>IF([1]DADOS!I389="TRIFÁSICO","X","")</f>
      </c>
      <c r="M408" s="73">
        <f>IF([1]DADOS!H389="5M","X","")</f>
      </c>
      <c r="N408" s="73">
        <f>IF([1]DADOS!H389="7M","X","")</f>
      </c>
      <c r="O408" s="73">
        <f>IF([1]DADOS!H389="PP","X","")</f>
      </c>
      <c r="P408" s="73"/>
      <c r="Q408" s="73"/>
      <c r="R408" s="73"/>
      <c r="S408" s="79"/>
      <c r="T408" s="80"/>
      <c r="U408" s="78">
        <f>IF([1]DADOS!F389="","",[1]DADOS!F389)</f>
      </c>
      <c r="V408" s="81">
        <f>IF(C408="","",[1]DADOS!$D$8)</f>
      </c>
    </row>
    <row r="409" ht="21" customHeight="1" spans="2:22" x14ac:dyDescent="0.25">
      <c r="B409" s="73">
        <v>380</v>
      </c>
      <c r="C409" s="74">
        <f>IF([1]DADOS!D390="","",[1]DADOS!D390)</f>
      </c>
      <c r="D409" s="75"/>
      <c r="E409" s="76"/>
      <c r="F409" s="76"/>
      <c r="G409" s="77"/>
      <c r="H409" s="74"/>
      <c r="I409" s="78">
        <f>IF([1]DADOS!G390="","",[1]DADOS!G390)</f>
      </c>
      <c r="J409" s="73">
        <f>IF([1]DADOS!I390="MONOFÁSICO","X","")</f>
      </c>
      <c r="K409" s="73">
        <f>IF([1]DADOS!I390="BIFÁSICO","X","")</f>
      </c>
      <c r="L409" s="73">
        <f>IF([1]DADOS!I390="TRIFÁSICO","X","")</f>
      </c>
      <c r="M409" s="73">
        <f>IF([1]DADOS!H390="5M","X","")</f>
      </c>
      <c r="N409" s="73">
        <f>IF([1]DADOS!H390="7M","X","")</f>
      </c>
      <c r="O409" s="73">
        <f>IF([1]DADOS!H390="PP","X","")</f>
      </c>
      <c r="P409" s="73"/>
      <c r="Q409" s="73"/>
      <c r="R409" s="73"/>
      <c r="S409" s="79"/>
      <c r="T409" s="80"/>
      <c r="U409" s="78">
        <f>IF([1]DADOS!F390="","",[1]DADOS!F390)</f>
      </c>
      <c r="V409" s="81">
        <f>IF(C409="","",[1]DADOS!$D$8)</f>
      </c>
    </row>
    <row r="410" ht="21" customHeight="1" spans="2:22" x14ac:dyDescent="0.25">
      <c r="B410" s="73">
        <v>381</v>
      </c>
      <c r="C410" s="74">
        <f>IF([1]DADOS!D391="","",[1]DADOS!D391)</f>
      </c>
      <c r="D410" s="75"/>
      <c r="E410" s="76"/>
      <c r="F410" s="76"/>
      <c r="G410" s="77"/>
      <c r="H410" s="74"/>
      <c r="I410" s="78">
        <f>IF([1]DADOS!G391="","",[1]DADOS!G391)</f>
      </c>
      <c r="J410" s="73">
        <f>IF([1]DADOS!I391="MONOFÁSICO","X","")</f>
      </c>
      <c r="K410" s="73">
        <f>IF([1]DADOS!I391="BIFÁSICO","X","")</f>
      </c>
      <c r="L410" s="73">
        <f>IF([1]DADOS!I391="TRIFÁSICO","X","")</f>
      </c>
      <c r="M410" s="73">
        <f>IF([1]DADOS!H391="5M","X","")</f>
      </c>
      <c r="N410" s="73">
        <f>IF([1]DADOS!H391="7M","X","")</f>
      </c>
      <c r="O410" s="73">
        <f>IF([1]DADOS!H391="PP","X","")</f>
      </c>
      <c r="P410" s="73"/>
      <c r="Q410" s="73"/>
      <c r="R410" s="73"/>
      <c r="S410" s="79"/>
      <c r="T410" s="80"/>
      <c r="U410" s="78">
        <f>IF([1]DADOS!F391="","",[1]DADOS!F391)</f>
      </c>
      <c r="V410" s="81">
        <f>IF(C410="","",[1]DADOS!$D$8)</f>
      </c>
    </row>
    <row r="411" ht="21" customHeight="1" spans="2:22" x14ac:dyDescent="0.25">
      <c r="B411" s="73">
        <v>382</v>
      </c>
      <c r="C411" s="74">
        <f>IF([1]DADOS!D392="","",[1]DADOS!D392)</f>
      </c>
      <c r="D411" s="75"/>
      <c r="E411" s="76"/>
      <c r="F411" s="76"/>
      <c r="G411" s="77"/>
      <c r="H411" s="74"/>
      <c r="I411" s="78">
        <f>IF([1]DADOS!G392="","",[1]DADOS!G392)</f>
      </c>
      <c r="J411" s="73">
        <f>IF([1]DADOS!I392="MONOFÁSICO","X","")</f>
      </c>
      <c r="K411" s="73">
        <f>IF([1]DADOS!I392="BIFÁSICO","X","")</f>
      </c>
      <c r="L411" s="73">
        <f>IF([1]DADOS!I392="TRIFÁSICO","X","")</f>
      </c>
      <c r="M411" s="73">
        <f>IF([1]DADOS!H392="5M","X","")</f>
      </c>
      <c r="N411" s="73">
        <f>IF([1]DADOS!H392="7M","X","")</f>
      </c>
      <c r="O411" s="73">
        <f>IF([1]DADOS!H392="PP","X","")</f>
      </c>
      <c r="P411" s="73"/>
      <c r="Q411" s="73"/>
      <c r="R411" s="73"/>
      <c r="S411" s="79"/>
      <c r="T411" s="80"/>
      <c r="U411" s="78">
        <f>IF([1]DADOS!F392="","",[1]DADOS!F392)</f>
      </c>
      <c r="V411" s="81">
        <f>IF(C411="","",[1]DADOS!$D$8)</f>
      </c>
    </row>
    <row r="412" ht="21" customHeight="1" spans="2:22" x14ac:dyDescent="0.25">
      <c r="B412" s="73">
        <v>383</v>
      </c>
      <c r="C412" s="74">
        <f>IF([1]DADOS!D393="","",[1]DADOS!D393)</f>
      </c>
      <c r="D412" s="75"/>
      <c r="E412" s="76"/>
      <c r="F412" s="76"/>
      <c r="G412" s="77"/>
      <c r="H412" s="74"/>
      <c r="I412" s="78">
        <f>IF([1]DADOS!G393="","",[1]DADOS!G393)</f>
      </c>
      <c r="J412" s="73">
        <f>IF([1]DADOS!I393="MONOFÁSICO","X","")</f>
      </c>
      <c r="K412" s="73">
        <f>IF([1]DADOS!I393="BIFÁSICO","X","")</f>
      </c>
      <c r="L412" s="73">
        <f>IF([1]DADOS!I393="TRIFÁSICO","X","")</f>
      </c>
      <c r="M412" s="73">
        <f>IF([1]DADOS!H393="5M","X","")</f>
      </c>
      <c r="N412" s="73">
        <f>IF([1]DADOS!H393="7M","X","")</f>
      </c>
      <c r="O412" s="73">
        <f>IF([1]DADOS!H393="PP","X","")</f>
      </c>
      <c r="P412" s="73"/>
      <c r="Q412" s="73"/>
      <c r="R412" s="73"/>
      <c r="S412" s="79"/>
      <c r="T412" s="80"/>
      <c r="U412" s="78">
        <f>IF([1]DADOS!F393="","",[1]DADOS!F393)</f>
      </c>
      <c r="V412" s="81">
        <f>IF(C412="","",[1]DADOS!$D$8)</f>
      </c>
    </row>
    <row r="413" ht="21" customHeight="1" spans="2:22" x14ac:dyDescent="0.25">
      <c r="B413" s="73">
        <v>384</v>
      </c>
      <c r="C413" s="74">
        <f>IF([1]DADOS!D394="","",[1]DADOS!D394)</f>
      </c>
      <c r="D413" s="75"/>
      <c r="E413" s="76"/>
      <c r="F413" s="76"/>
      <c r="G413" s="77"/>
      <c r="H413" s="74"/>
      <c r="I413" s="78">
        <f>IF([1]DADOS!G394="","",[1]DADOS!G394)</f>
      </c>
      <c r="J413" s="73">
        <f>IF([1]DADOS!I394="MONOFÁSICO","X","")</f>
      </c>
      <c r="K413" s="73">
        <f>IF([1]DADOS!I394="BIFÁSICO","X","")</f>
      </c>
      <c r="L413" s="73">
        <f>IF([1]DADOS!I394="TRIFÁSICO","X","")</f>
      </c>
      <c r="M413" s="73">
        <f>IF([1]DADOS!H394="5M","X","")</f>
      </c>
      <c r="N413" s="73">
        <f>IF([1]DADOS!H394="7M","X","")</f>
      </c>
      <c r="O413" s="73">
        <f>IF([1]DADOS!H394="PP","X","")</f>
      </c>
      <c r="P413" s="73"/>
      <c r="Q413" s="73"/>
      <c r="R413" s="73"/>
      <c r="S413" s="79"/>
      <c r="T413" s="80"/>
      <c r="U413" s="78">
        <f>IF([1]DADOS!F394="","",[1]DADOS!F394)</f>
      </c>
      <c r="V413" s="81">
        <f>IF(C413="","",[1]DADOS!$D$8)</f>
      </c>
    </row>
    <row r="414" ht="21" customHeight="1" spans="2:22" x14ac:dyDescent="0.25">
      <c r="B414" s="73">
        <v>385</v>
      </c>
      <c r="C414" s="74">
        <f>IF([1]DADOS!D395="","",[1]DADOS!D395)</f>
      </c>
      <c r="D414" s="75"/>
      <c r="E414" s="76"/>
      <c r="F414" s="76"/>
      <c r="G414" s="77"/>
      <c r="H414" s="74"/>
      <c r="I414" s="78">
        <f>IF([1]DADOS!G395="","",[1]DADOS!G395)</f>
      </c>
      <c r="J414" s="73">
        <f>IF([1]DADOS!I395="MONOFÁSICO","X","")</f>
      </c>
      <c r="K414" s="73">
        <f>IF([1]DADOS!I395="BIFÁSICO","X","")</f>
      </c>
      <c r="L414" s="73">
        <f>IF([1]DADOS!I395="TRIFÁSICO","X","")</f>
      </c>
      <c r="M414" s="73">
        <f>IF([1]DADOS!H395="5M","X","")</f>
      </c>
      <c r="N414" s="73">
        <f>IF([1]DADOS!H395="7M","X","")</f>
      </c>
      <c r="O414" s="73">
        <f>IF([1]DADOS!H395="PP","X","")</f>
      </c>
      <c r="P414" s="73"/>
      <c r="Q414" s="73"/>
      <c r="R414" s="73"/>
      <c r="S414" s="79"/>
      <c r="T414" s="80"/>
      <c r="U414" s="78">
        <f>IF([1]DADOS!F395="","",[1]DADOS!F395)</f>
      </c>
      <c r="V414" s="81">
        <f>IF(C414="","",[1]DADOS!$D$8)</f>
      </c>
    </row>
    <row r="415" ht="21" customHeight="1" spans="2:22" x14ac:dyDescent="0.25">
      <c r="B415" s="73">
        <v>386</v>
      </c>
      <c r="C415" s="74">
        <f>IF([1]DADOS!D396="","",[1]DADOS!D396)</f>
      </c>
      <c r="D415" s="75"/>
      <c r="E415" s="76"/>
      <c r="F415" s="76"/>
      <c r="G415" s="77"/>
      <c r="H415" s="74"/>
      <c r="I415" s="78">
        <f>IF([1]DADOS!G396="","",[1]DADOS!G396)</f>
      </c>
      <c r="J415" s="73">
        <f>IF([1]DADOS!I396="MONOFÁSICO","X","")</f>
      </c>
      <c r="K415" s="73">
        <f>IF([1]DADOS!I396="BIFÁSICO","X","")</f>
      </c>
      <c r="L415" s="73">
        <f>IF([1]DADOS!I396="TRIFÁSICO","X","")</f>
      </c>
      <c r="M415" s="73">
        <f>IF([1]DADOS!H396="5M","X","")</f>
      </c>
      <c r="N415" s="73">
        <f>IF([1]DADOS!H396="7M","X","")</f>
      </c>
      <c r="O415" s="73">
        <f>IF([1]DADOS!H396="PP","X","")</f>
      </c>
      <c r="P415" s="73"/>
      <c r="Q415" s="73"/>
      <c r="R415" s="73"/>
      <c r="S415" s="79"/>
      <c r="T415" s="80"/>
      <c r="U415" s="78">
        <f>IF([1]DADOS!F396="","",[1]DADOS!F396)</f>
      </c>
      <c r="V415" s="81">
        <f>IF(C415="","",[1]DADOS!$D$8)</f>
      </c>
    </row>
    <row r="416" ht="21" customHeight="1" spans="2:22" x14ac:dyDescent="0.25">
      <c r="B416" s="73">
        <v>387</v>
      </c>
      <c r="C416" s="74">
        <f>IF([1]DADOS!D397="","",[1]DADOS!D397)</f>
      </c>
      <c r="D416" s="75"/>
      <c r="E416" s="76"/>
      <c r="F416" s="76"/>
      <c r="G416" s="77"/>
      <c r="H416" s="74"/>
      <c r="I416" s="78">
        <f>IF([1]DADOS!G397="","",[1]DADOS!G397)</f>
      </c>
      <c r="J416" s="73">
        <f>IF([1]DADOS!I397="MONOFÁSICO","X","")</f>
      </c>
      <c r="K416" s="73">
        <f>IF([1]DADOS!I397="BIFÁSICO","X","")</f>
      </c>
      <c r="L416" s="73">
        <f>IF([1]DADOS!I397="TRIFÁSICO","X","")</f>
      </c>
      <c r="M416" s="73">
        <f>IF([1]DADOS!H397="5M","X","")</f>
      </c>
      <c r="N416" s="73">
        <f>IF([1]DADOS!H397="7M","X","")</f>
      </c>
      <c r="O416" s="73">
        <f>IF([1]DADOS!H397="PP","X","")</f>
      </c>
      <c r="P416" s="73"/>
      <c r="Q416" s="73"/>
      <c r="R416" s="73"/>
      <c r="S416" s="79"/>
      <c r="T416" s="80"/>
      <c r="U416" s="78">
        <f>IF([1]DADOS!F397="","",[1]DADOS!F397)</f>
      </c>
      <c r="V416" s="81">
        <f>IF(C416="","",[1]DADOS!$D$8)</f>
      </c>
    </row>
    <row r="417" ht="21" customHeight="1" spans="2:22" x14ac:dyDescent="0.25">
      <c r="B417" s="73">
        <v>388</v>
      </c>
      <c r="C417" s="74">
        <f>IF([1]DADOS!D398="","",[1]DADOS!D398)</f>
      </c>
      <c r="D417" s="75"/>
      <c r="E417" s="76"/>
      <c r="F417" s="76"/>
      <c r="G417" s="77"/>
      <c r="H417" s="74"/>
      <c r="I417" s="78">
        <f>IF([1]DADOS!G398="","",[1]DADOS!G398)</f>
      </c>
      <c r="J417" s="73">
        <f>IF([1]DADOS!I398="MONOFÁSICO","X","")</f>
      </c>
      <c r="K417" s="73">
        <f>IF([1]DADOS!I398="BIFÁSICO","X","")</f>
      </c>
      <c r="L417" s="73">
        <f>IF([1]DADOS!I398="TRIFÁSICO","X","")</f>
      </c>
      <c r="M417" s="73">
        <f>IF([1]DADOS!H398="5M","X","")</f>
      </c>
      <c r="N417" s="73">
        <f>IF([1]DADOS!H398="7M","X","")</f>
      </c>
      <c r="O417" s="73">
        <f>IF([1]DADOS!H398="PP","X","")</f>
      </c>
      <c r="P417" s="73"/>
      <c r="Q417" s="73"/>
      <c r="R417" s="73"/>
      <c r="S417" s="79"/>
      <c r="T417" s="80"/>
      <c r="U417" s="78">
        <f>IF([1]DADOS!F398="","",[1]DADOS!F398)</f>
      </c>
      <c r="V417" s="81">
        <f>IF(C417="","",[1]DADOS!$D$8)</f>
      </c>
    </row>
    <row r="418" ht="21" customHeight="1" spans="2:22" x14ac:dyDescent="0.25">
      <c r="B418" s="73">
        <v>389</v>
      </c>
      <c r="C418" s="74">
        <f>IF([1]DADOS!D399="","",[1]DADOS!D399)</f>
      </c>
      <c r="D418" s="75"/>
      <c r="E418" s="76"/>
      <c r="F418" s="76"/>
      <c r="G418" s="77"/>
      <c r="H418" s="74"/>
      <c r="I418" s="78">
        <f>IF([1]DADOS!G399="","",[1]DADOS!G399)</f>
      </c>
      <c r="J418" s="73">
        <f>IF([1]DADOS!I399="MONOFÁSICO","X","")</f>
      </c>
      <c r="K418" s="73">
        <f>IF([1]DADOS!I399="BIFÁSICO","X","")</f>
      </c>
      <c r="L418" s="73">
        <f>IF([1]DADOS!I399="TRIFÁSICO","X","")</f>
      </c>
      <c r="M418" s="73">
        <f>IF([1]DADOS!H399="5M","X","")</f>
      </c>
      <c r="N418" s="73">
        <f>IF([1]DADOS!H399="7M","X","")</f>
      </c>
      <c r="O418" s="73">
        <f>IF([1]DADOS!H399="PP","X","")</f>
      </c>
      <c r="P418" s="73"/>
      <c r="Q418" s="73"/>
      <c r="R418" s="73"/>
      <c r="S418" s="79"/>
      <c r="T418" s="80"/>
      <c r="U418" s="78">
        <f>IF([1]DADOS!F399="","",[1]DADOS!F399)</f>
      </c>
      <c r="V418" s="81">
        <f>IF(C418="","",[1]DADOS!$D$8)</f>
      </c>
    </row>
    <row r="419" ht="21" customHeight="1" spans="2:22" x14ac:dyDescent="0.25">
      <c r="B419" s="73">
        <v>390</v>
      </c>
      <c r="C419" s="74">
        <f>IF([1]DADOS!D400="","",[1]DADOS!D400)</f>
      </c>
      <c r="D419" s="75"/>
      <c r="E419" s="76"/>
      <c r="F419" s="76"/>
      <c r="G419" s="77"/>
      <c r="H419" s="74"/>
      <c r="I419" s="78">
        <f>IF([1]DADOS!G400="","",[1]DADOS!G400)</f>
      </c>
      <c r="J419" s="73">
        <f>IF([1]DADOS!I400="MONOFÁSICO","X","")</f>
      </c>
      <c r="K419" s="73">
        <f>IF([1]DADOS!I400="BIFÁSICO","X","")</f>
      </c>
      <c r="L419" s="73">
        <f>IF([1]DADOS!I400="TRIFÁSICO","X","")</f>
      </c>
      <c r="M419" s="73">
        <f>IF([1]DADOS!H400="5M","X","")</f>
      </c>
      <c r="N419" s="73">
        <f>IF([1]DADOS!H400="7M","X","")</f>
      </c>
      <c r="O419" s="73">
        <f>IF([1]DADOS!H400="PP","X","")</f>
      </c>
      <c r="P419" s="73"/>
      <c r="Q419" s="73"/>
      <c r="R419" s="73"/>
      <c r="S419" s="79"/>
      <c r="T419" s="80"/>
      <c r="U419" s="78">
        <f>IF([1]DADOS!F400="","",[1]DADOS!F400)</f>
      </c>
      <c r="V419" s="81">
        <f>IF(C419="","",[1]DADOS!$D$8)</f>
      </c>
    </row>
    <row r="420" ht="21" customHeight="1" spans="2:22" x14ac:dyDescent="0.25">
      <c r="B420" s="73">
        <v>391</v>
      </c>
      <c r="C420" s="74">
        <f>IF([1]DADOS!D401="","",[1]DADOS!D401)</f>
      </c>
      <c r="D420" s="75"/>
      <c r="E420" s="76"/>
      <c r="F420" s="76"/>
      <c r="G420" s="77"/>
      <c r="H420" s="74"/>
      <c r="I420" s="78">
        <f>IF([1]DADOS!G401="","",[1]DADOS!G401)</f>
      </c>
      <c r="J420" s="73">
        <f>IF([1]DADOS!I401="MONOFÁSICO","X","")</f>
      </c>
      <c r="K420" s="73">
        <f>IF([1]DADOS!I401="BIFÁSICO","X","")</f>
      </c>
      <c r="L420" s="73">
        <f>IF([1]DADOS!I401="TRIFÁSICO","X","")</f>
      </c>
      <c r="M420" s="73">
        <f>IF([1]DADOS!H401="5M","X","")</f>
      </c>
      <c r="N420" s="73">
        <f>IF([1]DADOS!H401="7M","X","")</f>
      </c>
      <c r="O420" s="73">
        <f>IF([1]DADOS!H401="PP","X","")</f>
      </c>
      <c r="P420" s="73"/>
      <c r="Q420" s="73"/>
      <c r="R420" s="73"/>
      <c r="S420" s="79"/>
      <c r="T420" s="80"/>
      <c r="U420" s="78">
        <f>IF([1]DADOS!F401="","",[1]DADOS!F401)</f>
      </c>
      <c r="V420" s="81">
        <f>IF(C420="","",[1]DADOS!$D$8)</f>
      </c>
    </row>
    <row r="421" ht="21" customHeight="1" spans="2:22" x14ac:dyDescent="0.25">
      <c r="B421" s="73">
        <v>392</v>
      </c>
      <c r="C421" s="74">
        <f>IF([1]DADOS!D402="","",[1]DADOS!D402)</f>
      </c>
      <c r="D421" s="75"/>
      <c r="E421" s="76"/>
      <c r="F421" s="76"/>
      <c r="G421" s="77"/>
      <c r="H421" s="74"/>
      <c r="I421" s="78">
        <f>IF([1]DADOS!G402="","",[1]DADOS!G402)</f>
      </c>
      <c r="J421" s="73">
        <f>IF([1]DADOS!I402="MONOFÁSICO","X","")</f>
      </c>
      <c r="K421" s="73">
        <f>IF([1]DADOS!I402="BIFÁSICO","X","")</f>
      </c>
      <c r="L421" s="73">
        <f>IF([1]DADOS!I402="TRIFÁSICO","X","")</f>
      </c>
      <c r="M421" s="73">
        <f>IF([1]DADOS!H402="5M","X","")</f>
      </c>
      <c r="N421" s="73">
        <f>IF([1]DADOS!H402="7M","X","")</f>
      </c>
      <c r="O421" s="73">
        <f>IF([1]DADOS!H402="PP","X","")</f>
      </c>
      <c r="P421" s="73"/>
      <c r="Q421" s="73"/>
      <c r="R421" s="73"/>
      <c r="S421" s="79"/>
      <c r="T421" s="80"/>
      <c r="U421" s="78">
        <f>IF([1]DADOS!F402="","",[1]DADOS!F402)</f>
      </c>
      <c r="V421" s="81">
        <f>IF(C421="","",[1]DADOS!$D$8)</f>
      </c>
    </row>
    <row r="422" ht="21" customHeight="1" spans="2:22" x14ac:dyDescent="0.25">
      <c r="B422" s="73">
        <v>393</v>
      </c>
      <c r="C422" s="74">
        <f>IF([1]DADOS!D403="","",[1]DADOS!D403)</f>
      </c>
      <c r="D422" s="75"/>
      <c r="E422" s="76"/>
      <c r="F422" s="76"/>
      <c r="G422" s="77"/>
      <c r="H422" s="74"/>
      <c r="I422" s="78">
        <f>IF([1]DADOS!G403="","",[1]DADOS!G403)</f>
      </c>
      <c r="J422" s="73">
        <f>IF([1]DADOS!I403="MONOFÁSICO","X","")</f>
      </c>
      <c r="K422" s="73">
        <f>IF([1]DADOS!I403="BIFÁSICO","X","")</f>
      </c>
      <c r="L422" s="73">
        <f>IF([1]DADOS!I403="TRIFÁSICO","X","")</f>
      </c>
      <c r="M422" s="73">
        <f>IF([1]DADOS!H403="5M","X","")</f>
      </c>
      <c r="N422" s="73">
        <f>IF([1]DADOS!H403="7M","X","")</f>
      </c>
      <c r="O422" s="73">
        <f>IF([1]DADOS!H403="PP","X","")</f>
      </c>
      <c r="P422" s="73"/>
      <c r="Q422" s="73"/>
      <c r="R422" s="73"/>
      <c r="S422" s="79"/>
      <c r="T422" s="80"/>
      <c r="U422" s="78">
        <f>IF([1]DADOS!F403="","",[1]DADOS!F403)</f>
      </c>
      <c r="V422" s="81">
        <f>IF(C422="","",[1]DADOS!$D$8)</f>
      </c>
    </row>
    <row r="423" ht="21" customHeight="1" spans="2:22" x14ac:dyDescent="0.25">
      <c r="B423" s="73">
        <v>394</v>
      </c>
      <c r="C423" s="74">
        <f>IF([1]DADOS!D404="","",[1]DADOS!D404)</f>
      </c>
      <c r="D423" s="75"/>
      <c r="E423" s="76"/>
      <c r="F423" s="76"/>
      <c r="G423" s="77"/>
      <c r="H423" s="74"/>
      <c r="I423" s="78">
        <f>IF([1]DADOS!G404="","",[1]DADOS!G404)</f>
      </c>
      <c r="J423" s="73">
        <f>IF([1]DADOS!I404="MONOFÁSICO","X","")</f>
      </c>
      <c r="K423" s="73">
        <f>IF([1]DADOS!I404="BIFÁSICO","X","")</f>
      </c>
      <c r="L423" s="73">
        <f>IF([1]DADOS!I404="TRIFÁSICO","X","")</f>
      </c>
      <c r="M423" s="73">
        <f>IF([1]DADOS!H404="5M","X","")</f>
      </c>
      <c r="N423" s="73">
        <f>IF([1]DADOS!H404="7M","X","")</f>
      </c>
      <c r="O423" s="73">
        <f>IF([1]DADOS!H404="PP","X","")</f>
      </c>
      <c r="P423" s="73"/>
      <c r="Q423" s="73"/>
      <c r="R423" s="73"/>
      <c r="S423" s="79"/>
      <c r="T423" s="80"/>
      <c r="U423" s="78">
        <f>IF([1]DADOS!F404="","",[1]DADOS!F404)</f>
      </c>
      <c r="V423" s="81">
        <f>IF(C423="","",[1]DADOS!$D$8)</f>
      </c>
    </row>
    <row r="424" ht="21" customHeight="1" spans="2:22" x14ac:dyDescent="0.25">
      <c r="B424" s="73">
        <v>395</v>
      </c>
      <c r="C424" s="74">
        <f>IF([1]DADOS!D405="","",[1]DADOS!D405)</f>
      </c>
      <c r="D424" s="75"/>
      <c r="E424" s="76"/>
      <c r="F424" s="76"/>
      <c r="G424" s="77"/>
      <c r="H424" s="74"/>
      <c r="I424" s="78">
        <f>IF([1]DADOS!G405="","",[1]DADOS!G405)</f>
      </c>
      <c r="J424" s="73">
        <f>IF([1]DADOS!I405="MONOFÁSICO","X","")</f>
      </c>
      <c r="K424" s="73">
        <f>IF([1]DADOS!I405="BIFÁSICO","X","")</f>
      </c>
      <c r="L424" s="73">
        <f>IF([1]DADOS!I405="TRIFÁSICO","X","")</f>
      </c>
      <c r="M424" s="73">
        <f>IF([1]DADOS!H405="5M","X","")</f>
      </c>
      <c r="N424" s="73">
        <f>IF([1]DADOS!H405="7M","X","")</f>
      </c>
      <c r="O424" s="73">
        <f>IF([1]DADOS!H405="PP","X","")</f>
      </c>
      <c r="P424" s="73"/>
      <c r="Q424" s="73"/>
      <c r="R424" s="73"/>
      <c r="S424" s="79"/>
      <c r="T424" s="80"/>
      <c r="U424" s="78">
        <f>IF([1]DADOS!F405="","",[1]DADOS!F405)</f>
      </c>
      <c r="V424" s="81">
        <f>IF(C424="","",[1]DADOS!$D$8)</f>
      </c>
    </row>
    <row r="425" ht="21" customHeight="1" spans="2:22" x14ac:dyDescent="0.25">
      <c r="B425" s="73">
        <v>396</v>
      </c>
      <c r="C425" s="74">
        <f>IF([1]DADOS!D406="","",[1]DADOS!D406)</f>
      </c>
      <c r="D425" s="75"/>
      <c r="E425" s="76"/>
      <c r="F425" s="76"/>
      <c r="G425" s="77"/>
      <c r="H425" s="74"/>
      <c r="I425" s="78">
        <f>IF([1]DADOS!G406="","",[1]DADOS!G406)</f>
      </c>
      <c r="J425" s="73">
        <f>IF([1]DADOS!I406="MONOFÁSICO","X","")</f>
      </c>
      <c r="K425" s="73">
        <f>IF([1]DADOS!I406="BIFÁSICO","X","")</f>
      </c>
      <c r="L425" s="73">
        <f>IF([1]DADOS!I406="TRIFÁSICO","X","")</f>
      </c>
      <c r="M425" s="73">
        <f>IF([1]DADOS!H406="5M","X","")</f>
      </c>
      <c r="N425" s="73">
        <f>IF([1]DADOS!H406="7M","X","")</f>
      </c>
      <c r="O425" s="73">
        <f>IF([1]DADOS!H406="PP","X","")</f>
      </c>
      <c r="P425" s="73"/>
      <c r="Q425" s="73"/>
      <c r="R425" s="73"/>
      <c r="S425" s="79"/>
      <c r="T425" s="80"/>
      <c r="U425" s="78">
        <f>IF([1]DADOS!F406="","",[1]DADOS!F406)</f>
      </c>
      <c r="V425" s="81">
        <f>IF(C425="","",[1]DADOS!$D$8)</f>
      </c>
    </row>
    <row r="426" ht="21" customHeight="1" spans="2:22" x14ac:dyDescent="0.25">
      <c r="B426" s="73">
        <v>397</v>
      </c>
      <c r="C426" s="74">
        <f>IF([1]DADOS!D407="","",[1]DADOS!D407)</f>
      </c>
      <c r="D426" s="75"/>
      <c r="E426" s="76"/>
      <c r="F426" s="76"/>
      <c r="G426" s="77"/>
      <c r="H426" s="74"/>
      <c r="I426" s="78">
        <f>IF([1]DADOS!G407="","",[1]DADOS!G407)</f>
      </c>
      <c r="J426" s="73">
        <f>IF([1]DADOS!I407="MONOFÁSICO","X","")</f>
      </c>
      <c r="K426" s="73">
        <f>IF([1]DADOS!I407="BIFÁSICO","X","")</f>
      </c>
      <c r="L426" s="73">
        <f>IF([1]DADOS!I407="TRIFÁSICO","X","")</f>
      </c>
      <c r="M426" s="73">
        <f>IF([1]DADOS!H407="5M","X","")</f>
      </c>
      <c r="N426" s="73">
        <f>IF([1]DADOS!H407="7M","X","")</f>
      </c>
      <c r="O426" s="73">
        <f>IF([1]DADOS!H407="PP","X","")</f>
      </c>
      <c r="P426" s="73"/>
      <c r="Q426" s="73"/>
      <c r="R426" s="73"/>
      <c r="S426" s="79"/>
      <c r="T426" s="80"/>
      <c r="U426" s="78">
        <f>IF([1]DADOS!F407="","",[1]DADOS!F407)</f>
      </c>
      <c r="V426" s="81">
        <f>IF(C426="","",[1]DADOS!$D$8)</f>
      </c>
    </row>
    <row r="427" ht="21" customHeight="1" spans="2:22" x14ac:dyDescent="0.25">
      <c r="B427" s="73">
        <v>398</v>
      </c>
      <c r="C427" s="74">
        <f>IF([1]DADOS!D408="","",[1]DADOS!D408)</f>
      </c>
      <c r="D427" s="75"/>
      <c r="E427" s="76"/>
      <c r="F427" s="76"/>
      <c r="G427" s="77"/>
      <c r="H427" s="74"/>
      <c r="I427" s="78">
        <f>IF([1]DADOS!G408="","",[1]DADOS!G408)</f>
      </c>
      <c r="J427" s="73">
        <f>IF([1]DADOS!I408="MONOFÁSICO","X","")</f>
      </c>
      <c r="K427" s="73">
        <f>IF([1]DADOS!I408="BIFÁSICO","X","")</f>
      </c>
      <c r="L427" s="73">
        <f>IF([1]DADOS!I408="TRIFÁSICO","X","")</f>
      </c>
      <c r="M427" s="73">
        <f>IF([1]DADOS!H408="5M","X","")</f>
      </c>
      <c r="N427" s="73">
        <f>IF([1]DADOS!H408="7M","X","")</f>
      </c>
      <c r="O427" s="73">
        <f>IF([1]DADOS!H408="PP","X","")</f>
      </c>
      <c r="P427" s="73"/>
      <c r="Q427" s="73"/>
      <c r="R427" s="73"/>
      <c r="S427" s="79"/>
      <c r="T427" s="80"/>
      <c r="U427" s="78">
        <f>IF([1]DADOS!F408="","",[1]DADOS!F408)</f>
      </c>
      <c r="V427" s="81">
        <f>IF(C427="","",[1]DADOS!$D$8)</f>
      </c>
    </row>
    <row r="428" ht="21" customHeight="1" spans="2:22" x14ac:dyDescent="0.25">
      <c r="B428" s="73">
        <v>399</v>
      </c>
      <c r="C428" s="74">
        <f>IF([1]DADOS!D409="","",[1]DADOS!D409)</f>
      </c>
      <c r="D428" s="75"/>
      <c r="E428" s="76"/>
      <c r="F428" s="76"/>
      <c r="G428" s="77"/>
      <c r="H428" s="74"/>
      <c r="I428" s="78">
        <f>IF([1]DADOS!G409="","",[1]DADOS!G409)</f>
      </c>
      <c r="J428" s="73">
        <f>IF([1]DADOS!I409="MONOFÁSICO","X","")</f>
      </c>
      <c r="K428" s="73">
        <f>IF([1]DADOS!I409="BIFÁSICO","X","")</f>
      </c>
      <c r="L428" s="73">
        <f>IF([1]DADOS!I409="TRIFÁSICO","X","")</f>
      </c>
      <c r="M428" s="73">
        <f>IF([1]DADOS!H409="5M","X","")</f>
      </c>
      <c r="N428" s="73">
        <f>IF([1]DADOS!H409="7M","X","")</f>
      </c>
      <c r="O428" s="73">
        <f>IF([1]DADOS!H409="PP","X","")</f>
      </c>
      <c r="P428" s="73"/>
      <c r="Q428" s="73"/>
      <c r="R428" s="73"/>
      <c r="S428" s="79"/>
      <c r="T428" s="80"/>
      <c r="U428" s="78">
        <f>IF([1]DADOS!F409="","",[1]DADOS!F409)</f>
      </c>
      <c r="V428" s="81">
        <f>IF(C428="","",[1]DADOS!$D$8)</f>
      </c>
    </row>
    <row r="429" ht="21" customHeight="1" spans="2:22" x14ac:dyDescent="0.25">
      <c r="B429" s="73">
        <v>400</v>
      </c>
      <c r="C429" s="74">
        <f>IF([1]DADOS!D410="","",[1]DADOS!D410)</f>
      </c>
      <c r="D429" s="75"/>
      <c r="E429" s="76"/>
      <c r="F429" s="76"/>
      <c r="G429" s="77"/>
      <c r="H429" s="74"/>
      <c r="I429" s="78">
        <f>IF([1]DADOS!G410="","",[1]DADOS!G410)</f>
      </c>
      <c r="J429" s="73">
        <f>IF([1]DADOS!I410="MONOFÁSICO","X","")</f>
      </c>
      <c r="K429" s="73">
        <f>IF([1]DADOS!I410="BIFÁSICO","X","")</f>
      </c>
      <c r="L429" s="73">
        <f>IF([1]DADOS!I410="TRIFÁSICO","X","")</f>
      </c>
      <c r="M429" s="73">
        <f>IF([1]DADOS!H410="5M","X","")</f>
      </c>
      <c r="N429" s="73">
        <f>IF([1]DADOS!H410="7M","X","")</f>
      </c>
      <c r="O429" s="73">
        <f>IF([1]DADOS!H410="PP","X","")</f>
      </c>
      <c r="P429" s="73"/>
      <c r="Q429" s="73"/>
      <c r="R429" s="73"/>
      <c r="S429" s="79"/>
      <c r="T429" s="80"/>
      <c r="U429" s="78">
        <f>IF([1]DADOS!F410="","",[1]DADOS!F410)</f>
      </c>
      <c r="V429" s="81">
        <f>IF(C429="","",[1]DADOS!$D$8)</f>
      </c>
    </row>
    <row r="430" ht="21" customHeight="1" spans="2:22" x14ac:dyDescent="0.25">
      <c r="B430" s="73">
        <v>401</v>
      </c>
      <c r="C430" s="74">
        <f>IF([1]DADOS!D411="","",[1]DADOS!D411)</f>
      </c>
      <c r="D430" s="75"/>
      <c r="E430" s="76"/>
      <c r="F430" s="76"/>
      <c r="G430" s="77"/>
      <c r="H430" s="74"/>
      <c r="I430" s="78">
        <f>IF([1]DADOS!G411="","",[1]DADOS!G411)</f>
      </c>
      <c r="J430" s="73">
        <f>IF([1]DADOS!I411="MONOFÁSICO","X","")</f>
      </c>
      <c r="K430" s="73">
        <f>IF([1]DADOS!I411="BIFÁSICO","X","")</f>
      </c>
      <c r="L430" s="73">
        <f>IF([1]DADOS!I411="TRIFÁSICO","X","")</f>
      </c>
      <c r="M430" s="73">
        <f>IF([1]DADOS!H411="5M","X","")</f>
      </c>
      <c r="N430" s="73">
        <f>IF([1]DADOS!H411="7M","X","")</f>
      </c>
      <c r="O430" s="73">
        <f>IF([1]DADOS!H411="PP","X","")</f>
      </c>
      <c r="P430" s="73"/>
      <c r="Q430" s="73"/>
      <c r="R430" s="73"/>
      <c r="S430" s="79"/>
      <c r="T430" s="80"/>
      <c r="U430" s="78">
        <f>IF([1]DADOS!F411="","",[1]DADOS!F411)</f>
      </c>
      <c r="V430" s="81">
        <f>IF(C430="","",[1]DADOS!$D$8)</f>
      </c>
    </row>
    <row r="431" ht="21" customHeight="1" spans="2:22" x14ac:dyDescent="0.25">
      <c r="B431" s="73">
        <v>402</v>
      </c>
      <c r="C431" s="74">
        <f>IF([1]DADOS!D412="","",[1]DADOS!D412)</f>
      </c>
      <c r="D431" s="75"/>
      <c r="E431" s="76"/>
      <c r="F431" s="76"/>
      <c r="G431" s="77"/>
      <c r="H431" s="74"/>
      <c r="I431" s="78">
        <f>IF([1]DADOS!G412="","",[1]DADOS!G412)</f>
      </c>
      <c r="J431" s="73">
        <f>IF([1]DADOS!I412="MONOFÁSICO","X","")</f>
      </c>
      <c r="K431" s="73">
        <f>IF([1]DADOS!I412="BIFÁSICO","X","")</f>
      </c>
      <c r="L431" s="73">
        <f>IF([1]DADOS!I412="TRIFÁSICO","X","")</f>
      </c>
      <c r="M431" s="73">
        <f>IF([1]DADOS!H412="5M","X","")</f>
      </c>
      <c r="N431" s="73">
        <f>IF([1]DADOS!H412="7M","X","")</f>
      </c>
      <c r="O431" s="73">
        <f>IF([1]DADOS!H412="PP","X","")</f>
      </c>
      <c r="P431" s="73"/>
      <c r="Q431" s="73"/>
      <c r="R431" s="73"/>
      <c r="S431" s="79"/>
      <c r="T431" s="80"/>
      <c r="U431" s="78">
        <f>IF([1]DADOS!F412="","",[1]DADOS!F412)</f>
      </c>
      <c r="V431" s="81">
        <f>IF(C431="","",[1]DADOS!$D$8)</f>
      </c>
    </row>
    <row r="432" ht="21" customHeight="1" spans="2:22" x14ac:dyDescent="0.25">
      <c r="B432" s="73">
        <v>403</v>
      </c>
      <c r="C432" s="74">
        <f>IF([1]DADOS!D413="","",[1]DADOS!D413)</f>
      </c>
      <c r="D432" s="75"/>
      <c r="E432" s="76"/>
      <c r="F432" s="76"/>
      <c r="G432" s="77"/>
      <c r="H432" s="74"/>
      <c r="I432" s="78">
        <f>IF([1]DADOS!G413="","",[1]DADOS!G413)</f>
      </c>
      <c r="J432" s="73">
        <f>IF([1]DADOS!I413="MONOFÁSICO","X","")</f>
      </c>
      <c r="K432" s="73">
        <f>IF([1]DADOS!I413="BIFÁSICO","X","")</f>
      </c>
      <c r="L432" s="73">
        <f>IF([1]DADOS!I413="TRIFÁSICO","X","")</f>
      </c>
      <c r="M432" s="73">
        <f>IF([1]DADOS!H413="5M","X","")</f>
      </c>
      <c r="N432" s="73">
        <f>IF([1]DADOS!H413="7M","X","")</f>
      </c>
      <c r="O432" s="73">
        <f>IF([1]DADOS!H413="PP","X","")</f>
      </c>
      <c r="P432" s="73"/>
      <c r="Q432" s="73"/>
      <c r="R432" s="73"/>
      <c r="S432" s="79"/>
      <c r="T432" s="80"/>
      <c r="U432" s="78">
        <f>IF([1]DADOS!F413="","",[1]DADOS!F413)</f>
      </c>
      <c r="V432" s="81">
        <f>IF(C432="","",[1]DADOS!$D$8)</f>
      </c>
    </row>
    <row r="433" ht="21" customHeight="1" spans="2:22" x14ac:dyDescent="0.25">
      <c r="B433" s="73">
        <v>404</v>
      </c>
      <c r="C433" s="74">
        <f>IF([1]DADOS!D414="","",[1]DADOS!D414)</f>
      </c>
      <c r="D433" s="75"/>
      <c r="E433" s="76"/>
      <c r="F433" s="76"/>
      <c r="G433" s="77"/>
      <c r="H433" s="74"/>
      <c r="I433" s="78">
        <f>IF([1]DADOS!G414="","",[1]DADOS!G414)</f>
      </c>
      <c r="J433" s="73">
        <f>IF([1]DADOS!I414="MONOFÁSICO","X","")</f>
      </c>
      <c r="K433" s="73">
        <f>IF([1]DADOS!I414="BIFÁSICO","X","")</f>
      </c>
      <c r="L433" s="73">
        <f>IF([1]DADOS!I414="TRIFÁSICO","X","")</f>
      </c>
      <c r="M433" s="73">
        <f>IF([1]DADOS!H414="5M","X","")</f>
      </c>
      <c r="N433" s="73">
        <f>IF([1]DADOS!H414="7M","X","")</f>
      </c>
      <c r="O433" s="73">
        <f>IF([1]DADOS!H414="PP","X","")</f>
      </c>
      <c r="P433" s="73"/>
      <c r="Q433" s="73"/>
      <c r="R433" s="73"/>
      <c r="S433" s="79"/>
      <c r="T433" s="80"/>
      <c r="U433" s="78">
        <f>IF([1]DADOS!F414="","",[1]DADOS!F414)</f>
      </c>
      <c r="V433" s="81">
        <f>IF(C433="","",[1]DADOS!$D$8)</f>
      </c>
    </row>
    <row r="434" ht="21" customHeight="1" spans="2:22" x14ac:dyDescent="0.25">
      <c r="B434" s="73">
        <v>405</v>
      </c>
      <c r="C434" s="74">
        <f>IF([1]DADOS!D415="","",[1]DADOS!D415)</f>
      </c>
      <c r="D434" s="75"/>
      <c r="E434" s="76"/>
      <c r="F434" s="76"/>
      <c r="G434" s="77"/>
      <c r="H434" s="74"/>
      <c r="I434" s="78">
        <f>IF([1]DADOS!G415="","",[1]DADOS!G415)</f>
      </c>
      <c r="J434" s="73">
        <f>IF([1]DADOS!I415="MONOFÁSICO","X","")</f>
      </c>
      <c r="K434" s="73">
        <f>IF([1]DADOS!I415="BIFÁSICO","X","")</f>
      </c>
      <c r="L434" s="73">
        <f>IF([1]DADOS!I415="TRIFÁSICO","X","")</f>
      </c>
      <c r="M434" s="73">
        <f>IF([1]DADOS!H415="5M","X","")</f>
      </c>
      <c r="N434" s="73">
        <f>IF([1]DADOS!H415="7M","X","")</f>
      </c>
      <c r="O434" s="73">
        <f>IF([1]DADOS!H415="PP","X","")</f>
      </c>
      <c r="P434" s="73"/>
      <c r="Q434" s="73"/>
      <c r="R434" s="73"/>
      <c r="S434" s="79"/>
      <c r="T434" s="80"/>
      <c r="U434" s="78">
        <f>IF([1]DADOS!F415="","",[1]DADOS!F415)</f>
      </c>
      <c r="V434" s="81">
        <f>IF(C434="","",[1]DADOS!$D$8)</f>
      </c>
    </row>
    <row r="435" ht="21" customHeight="1" spans="2:22" x14ac:dyDescent="0.25">
      <c r="B435" s="73">
        <v>406</v>
      </c>
      <c r="C435" s="74">
        <f>IF([1]DADOS!D416="","",[1]DADOS!D416)</f>
      </c>
      <c r="D435" s="75"/>
      <c r="E435" s="76"/>
      <c r="F435" s="76"/>
      <c r="G435" s="77"/>
      <c r="H435" s="74"/>
      <c r="I435" s="78">
        <f>IF([1]DADOS!G416="","",[1]DADOS!G416)</f>
      </c>
      <c r="J435" s="73">
        <f>IF([1]DADOS!I416="MONOFÁSICO","X","")</f>
      </c>
      <c r="K435" s="73">
        <f>IF([1]DADOS!I416="BIFÁSICO","X","")</f>
      </c>
      <c r="L435" s="73">
        <f>IF([1]DADOS!I416="TRIFÁSICO","X","")</f>
      </c>
      <c r="M435" s="73">
        <f>IF([1]DADOS!H416="5M","X","")</f>
      </c>
      <c r="N435" s="73">
        <f>IF([1]DADOS!H416="7M","X","")</f>
      </c>
      <c r="O435" s="73">
        <f>IF([1]DADOS!H416="PP","X","")</f>
      </c>
      <c r="P435" s="73"/>
      <c r="Q435" s="73"/>
      <c r="R435" s="73"/>
      <c r="S435" s="79"/>
      <c r="T435" s="80"/>
      <c r="U435" s="78">
        <f>IF([1]DADOS!F416="","",[1]DADOS!F416)</f>
      </c>
      <c r="V435" s="81">
        <f>IF(C435="","",[1]DADOS!$D$8)</f>
      </c>
    </row>
    <row r="436" ht="21" customHeight="1" spans="2:22" x14ac:dyDescent="0.25">
      <c r="B436" s="73">
        <v>407</v>
      </c>
      <c r="C436" s="74">
        <f>IF([1]DADOS!D417="","",[1]DADOS!D417)</f>
      </c>
      <c r="D436" s="75"/>
      <c r="E436" s="76"/>
      <c r="F436" s="76"/>
      <c r="G436" s="77"/>
      <c r="H436" s="74"/>
      <c r="I436" s="78">
        <f>IF([1]DADOS!G417="","",[1]DADOS!G417)</f>
      </c>
      <c r="J436" s="73">
        <f>IF([1]DADOS!I417="MONOFÁSICO","X","")</f>
      </c>
      <c r="K436" s="73">
        <f>IF([1]DADOS!I417="BIFÁSICO","X","")</f>
      </c>
      <c r="L436" s="73">
        <f>IF([1]DADOS!I417="TRIFÁSICO","X","")</f>
      </c>
      <c r="M436" s="73">
        <f>IF([1]DADOS!H417="5M","X","")</f>
      </c>
      <c r="N436" s="73">
        <f>IF([1]DADOS!H417="7M","X","")</f>
      </c>
      <c r="O436" s="73">
        <f>IF([1]DADOS!H417="PP","X","")</f>
      </c>
      <c r="P436" s="73"/>
      <c r="Q436" s="73"/>
      <c r="R436" s="73"/>
      <c r="S436" s="79"/>
      <c r="T436" s="80"/>
      <c r="U436" s="78">
        <f>IF([1]DADOS!F417="","",[1]DADOS!F417)</f>
      </c>
      <c r="V436" s="81">
        <f>IF(C436="","",[1]DADOS!$D$8)</f>
      </c>
    </row>
    <row r="437" ht="21" customHeight="1" spans="2:22" x14ac:dyDescent="0.25">
      <c r="B437" s="73">
        <v>408</v>
      </c>
      <c r="C437" s="74">
        <f>IF([1]DADOS!D418="","",[1]DADOS!D418)</f>
      </c>
      <c r="D437" s="75"/>
      <c r="E437" s="76"/>
      <c r="F437" s="76"/>
      <c r="G437" s="77"/>
      <c r="H437" s="74"/>
      <c r="I437" s="78">
        <f>IF([1]DADOS!G418="","",[1]DADOS!G418)</f>
      </c>
      <c r="J437" s="73">
        <f>IF([1]DADOS!I418="MONOFÁSICO","X","")</f>
      </c>
      <c r="K437" s="73">
        <f>IF([1]DADOS!I418="BIFÁSICO","X","")</f>
      </c>
      <c r="L437" s="73">
        <f>IF([1]DADOS!I418="TRIFÁSICO","X","")</f>
      </c>
      <c r="M437" s="73">
        <f>IF([1]DADOS!H418="5M","X","")</f>
      </c>
      <c r="N437" s="73">
        <f>IF([1]DADOS!H418="7M","X","")</f>
      </c>
      <c r="O437" s="73">
        <f>IF([1]DADOS!H418="PP","X","")</f>
      </c>
      <c r="P437" s="73"/>
      <c r="Q437" s="73"/>
      <c r="R437" s="73"/>
      <c r="S437" s="79"/>
      <c r="T437" s="80"/>
      <c r="U437" s="78">
        <f>IF([1]DADOS!F418="","",[1]DADOS!F418)</f>
      </c>
      <c r="V437" s="81">
        <f>IF(C437="","",[1]DADOS!$D$8)</f>
      </c>
    </row>
    <row r="438" ht="21" customHeight="1" spans="2:22" x14ac:dyDescent="0.25">
      <c r="B438" s="73">
        <v>409</v>
      </c>
      <c r="C438" s="74">
        <f>IF([1]DADOS!D419="","",[1]DADOS!D419)</f>
      </c>
      <c r="D438" s="75"/>
      <c r="E438" s="76"/>
      <c r="F438" s="76"/>
      <c r="G438" s="77"/>
      <c r="H438" s="74"/>
      <c r="I438" s="78">
        <f>IF([1]DADOS!G419="","",[1]DADOS!G419)</f>
      </c>
      <c r="J438" s="73">
        <f>IF([1]DADOS!I419="MONOFÁSICO","X","")</f>
      </c>
      <c r="K438" s="73">
        <f>IF([1]DADOS!I419="BIFÁSICO","X","")</f>
      </c>
      <c r="L438" s="73">
        <f>IF([1]DADOS!I419="TRIFÁSICO","X","")</f>
      </c>
      <c r="M438" s="73">
        <f>IF([1]DADOS!H419="5M","X","")</f>
      </c>
      <c r="N438" s="73">
        <f>IF([1]DADOS!H419="7M","X","")</f>
      </c>
      <c r="O438" s="73">
        <f>IF([1]DADOS!H419="PP","X","")</f>
      </c>
      <c r="P438" s="73"/>
      <c r="Q438" s="73"/>
      <c r="R438" s="73"/>
      <c r="S438" s="79"/>
      <c r="T438" s="80"/>
      <c r="U438" s="78">
        <f>IF([1]DADOS!F419="","",[1]DADOS!F419)</f>
      </c>
      <c r="V438" s="81">
        <f>IF(C438="","",[1]DADOS!$D$8)</f>
      </c>
    </row>
    <row r="439" ht="21" customHeight="1" spans="2:22" x14ac:dyDescent="0.25">
      <c r="B439" s="73">
        <v>410</v>
      </c>
      <c r="C439" s="74">
        <f>IF([1]DADOS!D420="","",[1]DADOS!D420)</f>
      </c>
      <c r="D439" s="75"/>
      <c r="E439" s="76"/>
      <c r="F439" s="76"/>
      <c r="G439" s="77"/>
      <c r="H439" s="74"/>
      <c r="I439" s="78">
        <f>IF([1]DADOS!G420="","",[1]DADOS!G420)</f>
      </c>
      <c r="J439" s="73">
        <f>IF([1]DADOS!I420="MONOFÁSICO","X","")</f>
      </c>
      <c r="K439" s="73">
        <f>IF([1]DADOS!I420="BIFÁSICO","X","")</f>
      </c>
      <c r="L439" s="73">
        <f>IF([1]DADOS!I420="TRIFÁSICO","X","")</f>
      </c>
      <c r="M439" s="73">
        <f>IF([1]DADOS!H420="5M","X","")</f>
      </c>
      <c r="N439" s="73">
        <f>IF([1]DADOS!H420="7M","X","")</f>
      </c>
      <c r="O439" s="73">
        <f>IF([1]DADOS!H420="PP","X","")</f>
      </c>
      <c r="P439" s="73"/>
      <c r="Q439" s="73"/>
      <c r="R439" s="73"/>
      <c r="S439" s="79"/>
      <c r="T439" s="80"/>
      <c r="U439" s="78">
        <f>IF([1]DADOS!F420="","",[1]DADOS!F420)</f>
      </c>
      <c r="V439" s="81">
        <f>IF(C439="","",[1]DADOS!$D$8)</f>
      </c>
    </row>
    <row r="440" ht="21" customHeight="1" spans="2:22" x14ac:dyDescent="0.25">
      <c r="B440" s="73">
        <v>411</v>
      </c>
      <c r="C440" s="74">
        <f>IF([1]DADOS!D421="","",[1]DADOS!D421)</f>
      </c>
      <c r="D440" s="75"/>
      <c r="E440" s="76"/>
      <c r="F440" s="76"/>
      <c r="G440" s="77"/>
      <c r="H440" s="74"/>
      <c r="I440" s="78">
        <f>IF([1]DADOS!G421="","",[1]DADOS!G421)</f>
      </c>
      <c r="J440" s="73">
        <f>IF([1]DADOS!I421="MONOFÁSICO","X","")</f>
      </c>
      <c r="K440" s="73">
        <f>IF([1]DADOS!I421="BIFÁSICO","X","")</f>
      </c>
      <c r="L440" s="73">
        <f>IF([1]DADOS!I421="TRIFÁSICO","X","")</f>
      </c>
      <c r="M440" s="73">
        <f>IF([1]DADOS!H421="5M","X","")</f>
      </c>
      <c r="N440" s="73">
        <f>IF([1]DADOS!H421="7M","X","")</f>
      </c>
      <c r="O440" s="73">
        <f>IF([1]DADOS!H421="PP","X","")</f>
      </c>
      <c r="P440" s="73"/>
      <c r="Q440" s="73"/>
      <c r="R440" s="73"/>
      <c r="S440" s="79"/>
      <c r="T440" s="80"/>
      <c r="U440" s="78">
        <f>IF([1]DADOS!F421="","",[1]DADOS!F421)</f>
      </c>
      <c r="V440" s="81">
        <f>IF(C440="","",[1]DADOS!$D$8)</f>
      </c>
    </row>
    <row r="441" ht="21" customHeight="1" spans="2:22" x14ac:dyDescent="0.25">
      <c r="B441" s="73">
        <v>412</v>
      </c>
      <c r="C441" s="74">
        <f>IF([1]DADOS!D422="","",[1]DADOS!D422)</f>
      </c>
      <c r="D441" s="75"/>
      <c r="E441" s="76"/>
      <c r="F441" s="76"/>
      <c r="G441" s="77"/>
      <c r="H441" s="74"/>
      <c r="I441" s="78">
        <f>IF([1]DADOS!G422="","",[1]DADOS!G422)</f>
      </c>
      <c r="J441" s="73">
        <f>IF([1]DADOS!I422="MONOFÁSICO","X","")</f>
      </c>
      <c r="K441" s="73">
        <f>IF([1]DADOS!I422="BIFÁSICO","X","")</f>
      </c>
      <c r="L441" s="73">
        <f>IF([1]DADOS!I422="TRIFÁSICO","X","")</f>
      </c>
      <c r="M441" s="73">
        <f>IF([1]DADOS!H422="5M","X","")</f>
      </c>
      <c r="N441" s="73">
        <f>IF([1]DADOS!H422="7M","X","")</f>
      </c>
      <c r="O441" s="73">
        <f>IF([1]DADOS!H422="PP","X","")</f>
      </c>
      <c r="P441" s="73"/>
      <c r="Q441" s="73"/>
      <c r="R441" s="73"/>
      <c r="S441" s="79"/>
      <c r="T441" s="80"/>
      <c r="U441" s="78">
        <f>IF([1]DADOS!F422="","",[1]DADOS!F422)</f>
      </c>
      <c r="V441" s="81">
        <f>IF(C441="","",[1]DADOS!$D$8)</f>
      </c>
    </row>
    <row r="442" ht="21" customHeight="1" spans="2:22" x14ac:dyDescent="0.25">
      <c r="B442" s="73">
        <v>413</v>
      </c>
      <c r="C442" s="74">
        <f>IF([1]DADOS!D423="","",[1]DADOS!D423)</f>
      </c>
      <c r="D442" s="75"/>
      <c r="E442" s="76"/>
      <c r="F442" s="76"/>
      <c r="G442" s="77"/>
      <c r="H442" s="74"/>
      <c r="I442" s="78">
        <f>IF([1]DADOS!G423="","",[1]DADOS!G423)</f>
      </c>
      <c r="J442" s="73">
        <f>IF([1]DADOS!I423="MONOFÁSICO","X","")</f>
      </c>
      <c r="K442" s="73">
        <f>IF([1]DADOS!I423="BIFÁSICO","X","")</f>
      </c>
      <c r="L442" s="73">
        <f>IF([1]DADOS!I423="TRIFÁSICO","X","")</f>
      </c>
      <c r="M442" s="73">
        <f>IF([1]DADOS!H423="5M","X","")</f>
      </c>
      <c r="N442" s="73">
        <f>IF([1]DADOS!H423="7M","X","")</f>
      </c>
      <c r="O442" s="73">
        <f>IF([1]DADOS!H423="PP","X","")</f>
      </c>
      <c r="P442" s="73"/>
      <c r="Q442" s="73"/>
      <c r="R442" s="73"/>
      <c r="S442" s="79"/>
      <c r="T442" s="80"/>
      <c r="U442" s="78">
        <f>IF([1]DADOS!F423="","",[1]DADOS!F423)</f>
      </c>
      <c r="V442" s="81">
        <f>IF(C442="","",[1]DADOS!$D$8)</f>
      </c>
    </row>
    <row r="443" ht="21" customHeight="1" spans="2:22" x14ac:dyDescent="0.25">
      <c r="B443" s="73">
        <v>414</v>
      </c>
      <c r="C443" s="74">
        <f>IF([1]DADOS!D424="","",[1]DADOS!D424)</f>
      </c>
      <c r="D443" s="75"/>
      <c r="E443" s="76"/>
      <c r="F443" s="76"/>
      <c r="G443" s="77"/>
      <c r="H443" s="74"/>
      <c r="I443" s="78">
        <f>IF([1]DADOS!G424="","",[1]DADOS!G424)</f>
      </c>
      <c r="J443" s="73">
        <f>IF([1]DADOS!I424="MONOFÁSICO","X","")</f>
      </c>
      <c r="K443" s="73">
        <f>IF([1]DADOS!I424="BIFÁSICO","X","")</f>
      </c>
      <c r="L443" s="73">
        <f>IF([1]DADOS!I424="TRIFÁSICO","X","")</f>
      </c>
      <c r="M443" s="73">
        <f>IF([1]DADOS!H424="5M","X","")</f>
      </c>
      <c r="N443" s="73">
        <f>IF([1]DADOS!H424="7M","X","")</f>
      </c>
      <c r="O443" s="73">
        <f>IF([1]DADOS!H424="PP","X","")</f>
      </c>
      <c r="P443" s="73"/>
      <c r="Q443" s="73"/>
      <c r="R443" s="73"/>
      <c r="S443" s="79"/>
      <c r="T443" s="80"/>
      <c r="U443" s="78">
        <f>IF([1]DADOS!F424="","",[1]DADOS!F424)</f>
      </c>
      <c r="V443" s="81">
        <f>IF(C443="","",[1]DADOS!$D$8)</f>
      </c>
    </row>
    <row r="444" ht="21" customHeight="1" spans="2:22" x14ac:dyDescent="0.25">
      <c r="B444" s="73">
        <v>415</v>
      </c>
      <c r="C444" s="74">
        <f>IF([1]DADOS!D425="","",[1]DADOS!D425)</f>
      </c>
      <c r="D444" s="75"/>
      <c r="E444" s="76"/>
      <c r="F444" s="76"/>
      <c r="G444" s="77"/>
      <c r="H444" s="74"/>
      <c r="I444" s="78">
        <f>IF([1]DADOS!G425="","",[1]DADOS!G425)</f>
      </c>
      <c r="J444" s="73">
        <f>IF([1]DADOS!I425="MONOFÁSICO","X","")</f>
      </c>
      <c r="K444" s="73">
        <f>IF([1]DADOS!I425="BIFÁSICO","X","")</f>
      </c>
      <c r="L444" s="73">
        <f>IF([1]DADOS!I425="TRIFÁSICO","X","")</f>
      </c>
      <c r="M444" s="73">
        <f>IF([1]DADOS!H425="5M","X","")</f>
      </c>
      <c r="N444" s="73">
        <f>IF([1]DADOS!H425="7M","X","")</f>
      </c>
      <c r="O444" s="73">
        <f>IF([1]DADOS!H425="PP","X","")</f>
      </c>
      <c r="P444" s="73"/>
      <c r="Q444" s="73"/>
      <c r="R444" s="73"/>
      <c r="S444" s="79"/>
      <c r="T444" s="80"/>
      <c r="U444" s="78">
        <f>IF([1]DADOS!F425="","",[1]DADOS!F425)</f>
      </c>
      <c r="V444" s="81">
        <f>IF(C444="","",[1]DADOS!$D$8)</f>
      </c>
    </row>
    <row r="445" ht="21" customHeight="1" spans="2:22" x14ac:dyDescent="0.25">
      <c r="B445" s="73">
        <v>416</v>
      </c>
      <c r="C445" s="74">
        <f>IF([1]DADOS!D426="","",[1]DADOS!D426)</f>
      </c>
      <c r="D445" s="75"/>
      <c r="E445" s="76"/>
      <c r="F445" s="76"/>
      <c r="G445" s="77"/>
      <c r="H445" s="74"/>
      <c r="I445" s="78">
        <f>IF([1]DADOS!G426="","",[1]DADOS!G426)</f>
      </c>
      <c r="J445" s="73">
        <f>IF([1]DADOS!I426="MONOFÁSICO","X","")</f>
      </c>
      <c r="K445" s="73">
        <f>IF([1]DADOS!I426="BIFÁSICO","X","")</f>
      </c>
      <c r="L445" s="73">
        <f>IF([1]DADOS!I426="TRIFÁSICO","X","")</f>
      </c>
      <c r="M445" s="73">
        <f>IF([1]DADOS!H426="5M","X","")</f>
      </c>
      <c r="N445" s="73">
        <f>IF([1]DADOS!H426="7M","X","")</f>
      </c>
      <c r="O445" s="73">
        <f>IF([1]DADOS!H426="PP","X","")</f>
      </c>
      <c r="P445" s="73"/>
      <c r="Q445" s="73"/>
      <c r="R445" s="73"/>
      <c r="S445" s="79"/>
      <c r="T445" s="80"/>
      <c r="U445" s="78">
        <f>IF([1]DADOS!F426="","",[1]DADOS!F426)</f>
      </c>
      <c r="V445" s="81">
        <f>IF(C445="","",[1]DADOS!$D$8)</f>
      </c>
    </row>
    <row r="446" ht="21" customHeight="1" spans="2:22" x14ac:dyDescent="0.25">
      <c r="B446" s="73">
        <v>417</v>
      </c>
      <c r="C446" s="74">
        <f>IF([1]DADOS!D427="","",[1]DADOS!D427)</f>
      </c>
      <c r="D446" s="75"/>
      <c r="E446" s="76"/>
      <c r="F446" s="76"/>
      <c r="G446" s="77"/>
      <c r="H446" s="74"/>
      <c r="I446" s="78">
        <f>IF([1]DADOS!G427="","",[1]DADOS!G427)</f>
      </c>
      <c r="J446" s="73">
        <f>IF([1]DADOS!I427="MONOFÁSICO","X","")</f>
      </c>
      <c r="K446" s="73">
        <f>IF([1]DADOS!I427="BIFÁSICO","X","")</f>
      </c>
      <c r="L446" s="73">
        <f>IF([1]DADOS!I427="TRIFÁSICO","X","")</f>
      </c>
      <c r="M446" s="73">
        <f>IF([1]DADOS!H427="5M","X","")</f>
      </c>
      <c r="N446" s="73">
        <f>IF([1]DADOS!H427="7M","X","")</f>
      </c>
      <c r="O446" s="73">
        <f>IF([1]DADOS!H427="PP","X","")</f>
      </c>
      <c r="P446" s="73"/>
      <c r="Q446" s="73"/>
      <c r="R446" s="73"/>
      <c r="S446" s="79"/>
      <c r="T446" s="80"/>
      <c r="U446" s="78">
        <f>IF([1]DADOS!F427="","",[1]DADOS!F427)</f>
      </c>
      <c r="V446" s="81">
        <f>IF(C446="","",[1]DADOS!$D$8)</f>
      </c>
    </row>
    <row r="447" ht="21" customHeight="1" spans="2:22" x14ac:dyDescent="0.25">
      <c r="B447" s="73">
        <v>418</v>
      </c>
      <c r="C447" s="74">
        <f>IF([1]DADOS!D428="","",[1]DADOS!D428)</f>
      </c>
      <c r="D447" s="75"/>
      <c r="E447" s="76"/>
      <c r="F447" s="76"/>
      <c r="G447" s="77"/>
      <c r="H447" s="74"/>
      <c r="I447" s="78">
        <f>IF([1]DADOS!G428="","",[1]DADOS!G428)</f>
      </c>
      <c r="J447" s="73">
        <f>IF([1]DADOS!I428="MONOFÁSICO","X","")</f>
      </c>
      <c r="K447" s="73">
        <f>IF([1]DADOS!I428="BIFÁSICO","X","")</f>
      </c>
      <c r="L447" s="73">
        <f>IF([1]DADOS!I428="TRIFÁSICO","X","")</f>
      </c>
      <c r="M447" s="73">
        <f>IF([1]DADOS!H428="5M","X","")</f>
      </c>
      <c r="N447" s="73">
        <f>IF([1]DADOS!H428="7M","X","")</f>
      </c>
      <c r="O447" s="73">
        <f>IF([1]DADOS!H428="PP","X","")</f>
      </c>
      <c r="P447" s="73"/>
      <c r="Q447" s="73"/>
      <c r="R447" s="73"/>
      <c r="S447" s="79"/>
      <c r="T447" s="80"/>
      <c r="U447" s="78">
        <f>IF([1]DADOS!F428="","",[1]DADOS!F428)</f>
      </c>
      <c r="V447" s="81">
        <f>IF(C447="","",[1]DADOS!$D$8)</f>
      </c>
    </row>
    <row r="448" ht="21" customHeight="1" spans="2:22" x14ac:dyDescent="0.25">
      <c r="B448" s="73">
        <v>419</v>
      </c>
      <c r="C448" s="74">
        <f>IF([1]DADOS!D429="","",[1]DADOS!D429)</f>
      </c>
      <c r="D448" s="75"/>
      <c r="E448" s="76"/>
      <c r="F448" s="76"/>
      <c r="G448" s="77"/>
      <c r="H448" s="74"/>
      <c r="I448" s="78">
        <f>IF([1]DADOS!G429="","",[1]DADOS!G429)</f>
      </c>
      <c r="J448" s="73">
        <f>IF([1]DADOS!I429="MONOFÁSICO","X","")</f>
      </c>
      <c r="K448" s="73">
        <f>IF([1]DADOS!I429="BIFÁSICO","X","")</f>
      </c>
      <c r="L448" s="73">
        <f>IF([1]DADOS!I429="TRIFÁSICO","X","")</f>
      </c>
      <c r="M448" s="73">
        <f>IF([1]DADOS!H429="5M","X","")</f>
      </c>
      <c r="N448" s="73">
        <f>IF([1]DADOS!H429="7M","X","")</f>
      </c>
      <c r="O448" s="73">
        <f>IF([1]DADOS!H429="PP","X","")</f>
      </c>
      <c r="P448" s="73"/>
      <c r="Q448" s="73"/>
      <c r="R448" s="73"/>
      <c r="S448" s="79"/>
      <c r="T448" s="80"/>
      <c r="U448" s="78">
        <f>IF([1]DADOS!F429="","",[1]DADOS!F429)</f>
      </c>
      <c r="V448" s="81">
        <f>IF(C448="","",[1]DADOS!$D$8)</f>
      </c>
    </row>
    <row r="449" ht="21" customHeight="1" spans="2:22" x14ac:dyDescent="0.25">
      <c r="B449" s="73">
        <v>420</v>
      </c>
      <c r="C449" s="74">
        <f>IF([1]DADOS!D430="","",[1]DADOS!D430)</f>
      </c>
      <c r="D449" s="75"/>
      <c r="E449" s="76"/>
      <c r="F449" s="76"/>
      <c r="G449" s="77"/>
      <c r="H449" s="74"/>
      <c r="I449" s="78">
        <f>IF([1]DADOS!G430="","",[1]DADOS!G430)</f>
      </c>
      <c r="J449" s="73">
        <f>IF([1]DADOS!I430="MONOFÁSICO","X","")</f>
      </c>
      <c r="K449" s="73">
        <f>IF([1]DADOS!I430="BIFÁSICO","X","")</f>
      </c>
      <c r="L449" s="73">
        <f>IF([1]DADOS!I430="TRIFÁSICO","X","")</f>
      </c>
      <c r="M449" s="73">
        <f>IF([1]DADOS!H430="5M","X","")</f>
      </c>
      <c r="N449" s="73">
        <f>IF([1]DADOS!H430="7M","X","")</f>
      </c>
      <c r="O449" s="73">
        <f>IF([1]DADOS!H430="PP","X","")</f>
      </c>
      <c r="P449" s="73"/>
      <c r="Q449" s="73"/>
      <c r="R449" s="73"/>
      <c r="S449" s="79"/>
      <c r="T449" s="80"/>
      <c r="U449" s="78">
        <f>IF([1]DADOS!F430="","",[1]DADOS!F430)</f>
      </c>
      <c r="V449" s="81">
        <f>IF(C449="","",[1]DADOS!$D$8)</f>
      </c>
    </row>
    <row r="450" ht="21" customHeight="1" spans="2:22" x14ac:dyDescent="0.25">
      <c r="B450" s="73">
        <v>421</v>
      </c>
      <c r="C450" s="74">
        <f>IF([1]DADOS!D431="","",[1]DADOS!D431)</f>
      </c>
      <c r="D450" s="75"/>
      <c r="E450" s="76"/>
      <c r="F450" s="76"/>
      <c r="G450" s="77"/>
      <c r="H450" s="74"/>
      <c r="I450" s="78">
        <f>IF([1]DADOS!G431="","",[1]DADOS!G431)</f>
      </c>
      <c r="J450" s="73">
        <f>IF([1]DADOS!I431="MONOFÁSICO","X","")</f>
      </c>
      <c r="K450" s="73">
        <f>IF([1]DADOS!I431="BIFÁSICO","X","")</f>
      </c>
      <c r="L450" s="73">
        <f>IF([1]DADOS!I431="TRIFÁSICO","X","")</f>
      </c>
      <c r="M450" s="73">
        <f>IF([1]DADOS!H431="5M","X","")</f>
      </c>
      <c r="N450" s="73">
        <f>IF([1]DADOS!H431="7M","X","")</f>
      </c>
      <c r="O450" s="73">
        <f>IF([1]DADOS!H431="PP","X","")</f>
      </c>
      <c r="P450" s="73"/>
      <c r="Q450" s="73"/>
      <c r="R450" s="73"/>
      <c r="S450" s="79"/>
      <c r="T450" s="80"/>
      <c r="U450" s="78">
        <f>IF([1]DADOS!F431="","",[1]DADOS!F431)</f>
      </c>
      <c r="V450" s="81">
        <f>IF(C450="","",[1]DADOS!$D$8)</f>
      </c>
    </row>
    <row r="451" ht="21" customHeight="1" spans="2:22" x14ac:dyDescent="0.25">
      <c r="B451" s="73">
        <v>422</v>
      </c>
      <c r="C451" s="74">
        <f>IF([1]DADOS!D432="","",[1]DADOS!D432)</f>
      </c>
      <c r="D451" s="75"/>
      <c r="E451" s="76"/>
      <c r="F451" s="76"/>
      <c r="G451" s="77"/>
      <c r="H451" s="74"/>
      <c r="I451" s="78">
        <f>IF([1]DADOS!G432="","",[1]DADOS!G432)</f>
      </c>
      <c r="J451" s="73">
        <f>IF([1]DADOS!I432="MONOFÁSICO","X","")</f>
      </c>
      <c r="K451" s="73">
        <f>IF([1]DADOS!I432="BIFÁSICO","X","")</f>
      </c>
      <c r="L451" s="73">
        <f>IF([1]DADOS!I432="TRIFÁSICO","X","")</f>
      </c>
      <c r="M451" s="73">
        <f>IF([1]DADOS!H432="5M","X","")</f>
      </c>
      <c r="N451" s="73">
        <f>IF([1]DADOS!H432="7M","X","")</f>
      </c>
      <c r="O451" s="73">
        <f>IF([1]DADOS!H432="PP","X","")</f>
      </c>
      <c r="P451" s="73"/>
      <c r="Q451" s="73"/>
      <c r="R451" s="73"/>
      <c r="S451" s="79"/>
      <c r="T451" s="80"/>
      <c r="U451" s="78">
        <f>IF([1]DADOS!F432="","",[1]DADOS!F432)</f>
      </c>
      <c r="V451" s="81">
        <f>IF(C451="","",[1]DADOS!$D$8)</f>
      </c>
    </row>
    <row r="452" ht="21" customHeight="1" spans="2:22" x14ac:dyDescent="0.25">
      <c r="B452" s="73">
        <v>423</v>
      </c>
      <c r="C452" s="74">
        <f>IF([1]DADOS!D433="","",[1]DADOS!D433)</f>
      </c>
      <c r="D452" s="75"/>
      <c r="E452" s="76"/>
      <c r="F452" s="76"/>
      <c r="G452" s="77"/>
      <c r="H452" s="74"/>
      <c r="I452" s="78">
        <f>IF([1]DADOS!G433="","",[1]DADOS!G433)</f>
      </c>
      <c r="J452" s="73">
        <f>IF([1]DADOS!I433="MONOFÁSICO","X","")</f>
      </c>
      <c r="K452" s="73">
        <f>IF([1]DADOS!I433="BIFÁSICO","X","")</f>
      </c>
      <c r="L452" s="73">
        <f>IF([1]DADOS!I433="TRIFÁSICO","X","")</f>
      </c>
      <c r="M452" s="73">
        <f>IF([1]DADOS!H433="5M","X","")</f>
      </c>
      <c r="N452" s="73">
        <f>IF([1]DADOS!H433="7M","X","")</f>
      </c>
      <c r="O452" s="73">
        <f>IF([1]DADOS!H433="PP","X","")</f>
      </c>
      <c r="P452" s="73"/>
      <c r="Q452" s="73"/>
      <c r="R452" s="73"/>
      <c r="S452" s="79"/>
      <c r="T452" s="80"/>
      <c r="U452" s="78">
        <f>IF([1]DADOS!F433="","",[1]DADOS!F433)</f>
      </c>
      <c r="V452" s="81">
        <f>IF(C452="","",[1]DADOS!$D$8)</f>
      </c>
    </row>
    <row r="453" ht="21" customHeight="1" spans="2:22" x14ac:dyDescent="0.25">
      <c r="B453" s="73">
        <v>424</v>
      </c>
      <c r="C453" s="74">
        <f>IF([1]DADOS!D434="","",[1]DADOS!D434)</f>
      </c>
      <c r="D453" s="75"/>
      <c r="E453" s="76"/>
      <c r="F453" s="76"/>
      <c r="G453" s="77"/>
      <c r="H453" s="74"/>
      <c r="I453" s="78">
        <f>IF([1]DADOS!G434="","",[1]DADOS!G434)</f>
      </c>
      <c r="J453" s="73">
        <f>IF([1]DADOS!I434="MONOFÁSICO","X","")</f>
      </c>
      <c r="K453" s="73">
        <f>IF([1]DADOS!I434="BIFÁSICO","X","")</f>
      </c>
      <c r="L453" s="73">
        <f>IF([1]DADOS!I434="TRIFÁSICO","X","")</f>
      </c>
      <c r="M453" s="73">
        <f>IF([1]DADOS!H434="5M","X","")</f>
      </c>
      <c r="N453" s="73">
        <f>IF([1]DADOS!H434="7M","X","")</f>
      </c>
      <c r="O453" s="73">
        <f>IF([1]DADOS!H434="PP","X","")</f>
      </c>
      <c r="P453" s="73"/>
      <c r="Q453" s="73"/>
      <c r="R453" s="73"/>
      <c r="S453" s="79"/>
      <c r="T453" s="80"/>
      <c r="U453" s="78">
        <f>IF([1]DADOS!F434="","",[1]DADOS!F434)</f>
      </c>
      <c r="V453" s="81">
        <f>IF(C453="","",[1]DADOS!$D$8)</f>
      </c>
    </row>
    <row r="454" ht="21" customHeight="1" spans="2:22" x14ac:dyDescent="0.25">
      <c r="B454" s="73">
        <v>425</v>
      </c>
      <c r="C454" s="74">
        <f>IF([1]DADOS!D435="","",[1]DADOS!D435)</f>
      </c>
      <c r="D454" s="75"/>
      <c r="E454" s="76"/>
      <c r="F454" s="76"/>
      <c r="G454" s="77"/>
      <c r="H454" s="74"/>
      <c r="I454" s="78">
        <f>IF([1]DADOS!G435="","",[1]DADOS!G435)</f>
      </c>
      <c r="J454" s="73">
        <f>IF([1]DADOS!I435="MONOFÁSICO","X","")</f>
      </c>
      <c r="K454" s="73">
        <f>IF([1]DADOS!I435="BIFÁSICO","X","")</f>
      </c>
      <c r="L454" s="73">
        <f>IF([1]DADOS!I435="TRIFÁSICO","X","")</f>
      </c>
      <c r="M454" s="73">
        <f>IF([1]DADOS!H435="5M","X","")</f>
      </c>
      <c r="N454" s="73">
        <f>IF([1]DADOS!H435="7M","X","")</f>
      </c>
      <c r="O454" s="73">
        <f>IF([1]DADOS!H435="PP","X","")</f>
      </c>
      <c r="P454" s="73"/>
      <c r="Q454" s="73"/>
      <c r="R454" s="73"/>
      <c r="S454" s="79"/>
      <c r="T454" s="80"/>
      <c r="U454" s="78">
        <f>IF([1]DADOS!F435="","",[1]DADOS!F435)</f>
      </c>
      <c r="V454" s="81">
        <f>IF(C454="","",[1]DADOS!$D$8)</f>
      </c>
    </row>
    <row r="455" ht="21" customHeight="1" spans="2:22" x14ac:dyDescent="0.25">
      <c r="B455" s="73">
        <v>426</v>
      </c>
      <c r="C455" s="74">
        <f>IF([1]DADOS!D436="","",[1]DADOS!D436)</f>
      </c>
      <c r="D455" s="75"/>
      <c r="E455" s="76"/>
      <c r="F455" s="76"/>
      <c r="G455" s="77"/>
      <c r="H455" s="74"/>
      <c r="I455" s="78">
        <f>IF([1]DADOS!G436="","",[1]DADOS!G436)</f>
      </c>
      <c r="J455" s="73">
        <f>IF([1]DADOS!I436="MONOFÁSICO","X","")</f>
      </c>
      <c r="K455" s="73">
        <f>IF([1]DADOS!I436="BIFÁSICO","X","")</f>
      </c>
      <c r="L455" s="73">
        <f>IF([1]DADOS!I436="TRIFÁSICO","X","")</f>
      </c>
      <c r="M455" s="73">
        <f>IF([1]DADOS!H436="5M","X","")</f>
      </c>
      <c r="N455" s="73">
        <f>IF([1]DADOS!H436="7M","X","")</f>
      </c>
      <c r="O455" s="73">
        <f>IF([1]DADOS!H436="PP","X","")</f>
      </c>
      <c r="P455" s="73"/>
      <c r="Q455" s="73"/>
      <c r="R455" s="73"/>
      <c r="S455" s="79"/>
      <c r="T455" s="80"/>
      <c r="U455" s="78">
        <f>IF([1]DADOS!F436="","",[1]DADOS!F436)</f>
      </c>
      <c r="V455" s="81">
        <f>IF(C455="","",[1]DADOS!$D$8)</f>
      </c>
    </row>
    <row r="456" ht="21" customHeight="1" spans="2:22" x14ac:dyDescent="0.25">
      <c r="B456" s="73">
        <v>427</v>
      </c>
      <c r="C456" s="74">
        <f>IF([1]DADOS!D437="","",[1]DADOS!D437)</f>
      </c>
      <c r="D456" s="75"/>
      <c r="E456" s="76"/>
      <c r="F456" s="76"/>
      <c r="G456" s="77"/>
      <c r="H456" s="74"/>
      <c r="I456" s="78">
        <f>IF([1]DADOS!G437="","",[1]DADOS!G437)</f>
      </c>
      <c r="J456" s="73">
        <f>IF([1]DADOS!I437="MONOFÁSICO","X","")</f>
      </c>
      <c r="K456" s="73">
        <f>IF([1]DADOS!I437="BIFÁSICO","X","")</f>
      </c>
      <c r="L456" s="73">
        <f>IF([1]DADOS!I437="TRIFÁSICO","X","")</f>
      </c>
      <c r="M456" s="73">
        <f>IF([1]DADOS!H437="5M","X","")</f>
      </c>
      <c r="N456" s="73">
        <f>IF([1]DADOS!H437="7M","X","")</f>
      </c>
      <c r="O456" s="73">
        <f>IF([1]DADOS!H437="PP","X","")</f>
      </c>
      <c r="P456" s="73"/>
      <c r="Q456" s="73"/>
      <c r="R456" s="73"/>
      <c r="S456" s="79"/>
      <c r="T456" s="80"/>
      <c r="U456" s="78">
        <f>IF([1]DADOS!F437="","",[1]DADOS!F437)</f>
      </c>
      <c r="V456" s="81">
        <f>IF(C456="","",[1]DADOS!$D$8)</f>
      </c>
    </row>
    <row r="457" ht="21" customHeight="1" spans="2:22" x14ac:dyDescent="0.25">
      <c r="B457" s="73">
        <v>428</v>
      </c>
      <c r="C457" s="74">
        <f>IF([1]DADOS!D438="","",[1]DADOS!D438)</f>
      </c>
      <c r="D457" s="75"/>
      <c r="E457" s="76"/>
      <c r="F457" s="76"/>
      <c r="G457" s="77"/>
      <c r="H457" s="74"/>
      <c r="I457" s="78">
        <f>IF([1]DADOS!G438="","",[1]DADOS!G438)</f>
      </c>
      <c r="J457" s="73">
        <f>IF([1]DADOS!I438="MONOFÁSICO","X","")</f>
      </c>
      <c r="K457" s="73">
        <f>IF([1]DADOS!I438="BIFÁSICO","X","")</f>
      </c>
      <c r="L457" s="73">
        <f>IF([1]DADOS!I438="TRIFÁSICO","X","")</f>
      </c>
      <c r="M457" s="73">
        <f>IF([1]DADOS!H438="5M","X","")</f>
      </c>
      <c r="N457" s="73">
        <f>IF([1]DADOS!H438="7M","X","")</f>
      </c>
      <c r="O457" s="73">
        <f>IF([1]DADOS!H438="PP","X","")</f>
      </c>
      <c r="P457" s="73"/>
      <c r="Q457" s="73"/>
      <c r="R457" s="73"/>
      <c r="S457" s="79"/>
      <c r="T457" s="80"/>
      <c r="U457" s="78">
        <f>IF([1]DADOS!F438="","",[1]DADOS!F438)</f>
      </c>
      <c r="V457" s="81">
        <f>IF(C457="","",[1]DADOS!$D$8)</f>
      </c>
    </row>
    <row r="458" ht="21" customHeight="1" spans="2:22" x14ac:dyDescent="0.25">
      <c r="B458" s="73">
        <v>429</v>
      </c>
      <c r="C458" s="74">
        <f>IF([1]DADOS!D439="","",[1]DADOS!D439)</f>
      </c>
      <c r="D458" s="75"/>
      <c r="E458" s="76"/>
      <c r="F458" s="76"/>
      <c r="G458" s="77"/>
      <c r="H458" s="74"/>
      <c r="I458" s="78">
        <f>IF([1]DADOS!G439="","",[1]DADOS!G439)</f>
      </c>
      <c r="J458" s="73">
        <f>IF([1]DADOS!I439="MONOFÁSICO","X","")</f>
      </c>
      <c r="K458" s="73">
        <f>IF([1]DADOS!I439="BIFÁSICO","X","")</f>
      </c>
      <c r="L458" s="73">
        <f>IF([1]DADOS!I439="TRIFÁSICO","X","")</f>
      </c>
      <c r="M458" s="73">
        <f>IF([1]DADOS!H439="5M","X","")</f>
      </c>
      <c r="N458" s="73">
        <f>IF([1]DADOS!H439="7M","X","")</f>
      </c>
      <c r="O458" s="73">
        <f>IF([1]DADOS!H439="PP","X","")</f>
      </c>
      <c r="P458" s="73"/>
      <c r="Q458" s="73"/>
      <c r="R458" s="73"/>
      <c r="S458" s="79"/>
      <c r="T458" s="80"/>
      <c r="U458" s="78">
        <f>IF([1]DADOS!F439="","",[1]DADOS!F439)</f>
      </c>
      <c r="V458" s="81">
        <f>IF(C458="","",[1]DADOS!$D$8)</f>
      </c>
    </row>
    <row r="459" ht="21" customHeight="1" spans="2:22" x14ac:dyDescent="0.25">
      <c r="B459" s="73">
        <v>430</v>
      </c>
      <c r="C459" s="74">
        <f>IF([1]DADOS!D440="","",[1]DADOS!D440)</f>
      </c>
      <c r="D459" s="75"/>
      <c r="E459" s="76"/>
      <c r="F459" s="76"/>
      <c r="G459" s="77"/>
      <c r="H459" s="74"/>
      <c r="I459" s="78">
        <f>IF([1]DADOS!G440="","",[1]DADOS!G440)</f>
      </c>
      <c r="J459" s="73">
        <f>IF([1]DADOS!I440="MONOFÁSICO","X","")</f>
      </c>
      <c r="K459" s="73">
        <f>IF([1]DADOS!I440="BIFÁSICO","X","")</f>
      </c>
      <c r="L459" s="73">
        <f>IF([1]DADOS!I440="TRIFÁSICO","X","")</f>
      </c>
      <c r="M459" s="73">
        <f>IF([1]DADOS!H440="5M","X","")</f>
      </c>
      <c r="N459" s="73">
        <f>IF([1]DADOS!H440="7M","X","")</f>
      </c>
      <c r="O459" s="73">
        <f>IF([1]DADOS!H440="PP","X","")</f>
      </c>
      <c r="P459" s="73"/>
      <c r="Q459" s="73"/>
      <c r="R459" s="73"/>
      <c r="S459" s="79"/>
      <c r="T459" s="80"/>
      <c r="U459" s="78">
        <f>IF([1]DADOS!F440="","",[1]DADOS!F440)</f>
      </c>
      <c r="V459" s="81">
        <f>IF(C459="","",[1]DADOS!$D$8)</f>
      </c>
    </row>
    <row r="460" ht="21" customHeight="1" spans="2:22" x14ac:dyDescent="0.25">
      <c r="B460" s="73">
        <v>431</v>
      </c>
      <c r="C460" s="74">
        <f>IF([1]DADOS!D441="","",[1]DADOS!D441)</f>
      </c>
      <c r="D460" s="75"/>
      <c r="E460" s="76"/>
      <c r="F460" s="76"/>
      <c r="G460" s="77"/>
      <c r="H460" s="74"/>
      <c r="I460" s="78">
        <f>IF([1]DADOS!G441="","",[1]DADOS!G441)</f>
      </c>
      <c r="J460" s="73">
        <f>IF([1]DADOS!I441="MONOFÁSICO","X","")</f>
      </c>
      <c r="K460" s="73">
        <f>IF([1]DADOS!I441="BIFÁSICO","X","")</f>
      </c>
      <c r="L460" s="73">
        <f>IF([1]DADOS!I441="TRIFÁSICO","X","")</f>
      </c>
      <c r="M460" s="73">
        <f>IF([1]DADOS!H441="5M","X","")</f>
      </c>
      <c r="N460" s="73">
        <f>IF([1]DADOS!H441="7M","X","")</f>
      </c>
      <c r="O460" s="73">
        <f>IF([1]DADOS!H441="PP","X","")</f>
      </c>
      <c r="P460" s="73"/>
      <c r="Q460" s="73"/>
      <c r="R460" s="73"/>
      <c r="S460" s="79"/>
      <c r="T460" s="80"/>
      <c r="U460" s="78">
        <f>IF([1]DADOS!F441="","",[1]DADOS!F441)</f>
      </c>
      <c r="V460" s="81">
        <f>IF(C460="","",[1]DADOS!$D$8)</f>
      </c>
    </row>
    <row r="461" ht="21" customHeight="1" spans="2:22" x14ac:dyDescent="0.25">
      <c r="B461" s="73">
        <v>432</v>
      </c>
      <c r="C461" s="74">
        <f>IF([1]DADOS!D442="","",[1]DADOS!D442)</f>
      </c>
      <c r="D461" s="75"/>
      <c r="E461" s="76"/>
      <c r="F461" s="76"/>
      <c r="G461" s="77"/>
      <c r="H461" s="74"/>
      <c r="I461" s="78">
        <f>IF([1]DADOS!G442="","",[1]DADOS!G442)</f>
      </c>
      <c r="J461" s="73">
        <f>IF([1]DADOS!I442="MONOFÁSICO","X","")</f>
      </c>
      <c r="K461" s="73">
        <f>IF([1]DADOS!I442="BIFÁSICO","X","")</f>
      </c>
      <c r="L461" s="73">
        <f>IF([1]DADOS!I442="TRIFÁSICO","X","")</f>
      </c>
      <c r="M461" s="73">
        <f>IF([1]DADOS!H442="5M","X","")</f>
      </c>
      <c r="N461" s="73">
        <f>IF([1]DADOS!H442="7M","X","")</f>
      </c>
      <c r="O461" s="73">
        <f>IF([1]DADOS!H442="PP","X","")</f>
      </c>
      <c r="P461" s="73"/>
      <c r="Q461" s="73"/>
      <c r="R461" s="73"/>
      <c r="S461" s="79"/>
      <c r="T461" s="80"/>
      <c r="U461" s="78">
        <f>IF([1]DADOS!F442="","",[1]DADOS!F442)</f>
      </c>
      <c r="V461" s="81">
        <f>IF(C461="","",[1]DADOS!$D$8)</f>
      </c>
    </row>
    <row r="462" ht="21" customHeight="1" spans="2:22" x14ac:dyDescent="0.25">
      <c r="B462" s="73">
        <v>433</v>
      </c>
      <c r="C462" s="74">
        <f>IF([1]DADOS!D443="","",[1]DADOS!D443)</f>
      </c>
      <c r="D462" s="75"/>
      <c r="E462" s="76"/>
      <c r="F462" s="76"/>
      <c r="G462" s="77"/>
      <c r="H462" s="74"/>
      <c r="I462" s="78">
        <f>IF([1]DADOS!G443="","",[1]DADOS!G443)</f>
      </c>
      <c r="J462" s="73">
        <f>IF([1]DADOS!I443="MONOFÁSICO","X","")</f>
      </c>
      <c r="K462" s="73">
        <f>IF([1]DADOS!I443="BIFÁSICO","X","")</f>
      </c>
      <c r="L462" s="73">
        <f>IF([1]DADOS!I443="TRIFÁSICO","X","")</f>
      </c>
      <c r="M462" s="73">
        <f>IF([1]DADOS!H443="5M","X","")</f>
      </c>
      <c r="N462" s="73">
        <f>IF([1]DADOS!H443="7M","X","")</f>
      </c>
      <c r="O462" s="73">
        <f>IF([1]DADOS!H443="PP","X","")</f>
      </c>
      <c r="P462" s="73"/>
      <c r="Q462" s="73"/>
      <c r="R462" s="73"/>
      <c r="S462" s="79"/>
      <c r="T462" s="80"/>
      <c r="U462" s="78">
        <f>IF([1]DADOS!F443="","",[1]DADOS!F443)</f>
      </c>
      <c r="V462" s="81">
        <f>IF(C462="","",[1]DADOS!$D$8)</f>
      </c>
    </row>
    <row r="463" ht="21" customHeight="1" spans="2:22" x14ac:dyDescent="0.25">
      <c r="B463" s="73">
        <v>434</v>
      </c>
      <c r="C463" s="74">
        <f>IF([1]DADOS!D444="","",[1]DADOS!D444)</f>
      </c>
      <c r="D463" s="75"/>
      <c r="E463" s="76"/>
      <c r="F463" s="76"/>
      <c r="G463" s="77"/>
      <c r="H463" s="74"/>
      <c r="I463" s="78">
        <f>IF([1]DADOS!G444="","",[1]DADOS!G444)</f>
      </c>
      <c r="J463" s="73">
        <f>IF([1]DADOS!I444="MONOFÁSICO","X","")</f>
      </c>
      <c r="K463" s="73">
        <f>IF([1]DADOS!I444="BIFÁSICO","X","")</f>
      </c>
      <c r="L463" s="73">
        <f>IF([1]DADOS!I444="TRIFÁSICO","X","")</f>
      </c>
      <c r="M463" s="73">
        <f>IF([1]DADOS!H444="5M","X","")</f>
      </c>
      <c r="N463" s="73">
        <f>IF([1]DADOS!H444="7M","X","")</f>
      </c>
      <c r="O463" s="73">
        <f>IF([1]DADOS!H444="PP","X","")</f>
      </c>
      <c r="P463" s="73"/>
      <c r="Q463" s="73"/>
      <c r="R463" s="73"/>
      <c r="S463" s="79"/>
      <c r="T463" s="80"/>
      <c r="U463" s="78">
        <f>IF([1]DADOS!F444="","",[1]DADOS!F444)</f>
      </c>
      <c r="V463" s="81">
        <f>IF(C463="","",[1]DADOS!$D$8)</f>
      </c>
    </row>
    <row r="464" ht="21" customHeight="1" spans="2:22" x14ac:dyDescent="0.25">
      <c r="B464" s="73">
        <v>435</v>
      </c>
      <c r="C464" s="74">
        <f>IF([1]DADOS!D445="","",[1]DADOS!D445)</f>
      </c>
      <c r="D464" s="75"/>
      <c r="E464" s="76"/>
      <c r="F464" s="76"/>
      <c r="G464" s="77"/>
      <c r="H464" s="74"/>
      <c r="I464" s="78">
        <f>IF([1]DADOS!G445="","",[1]DADOS!G445)</f>
      </c>
      <c r="J464" s="73">
        <f>IF([1]DADOS!I445="MONOFÁSICO","X","")</f>
      </c>
      <c r="K464" s="73">
        <f>IF([1]DADOS!I445="BIFÁSICO","X","")</f>
      </c>
      <c r="L464" s="73">
        <f>IF([1]DADOS!I445="TRIFÁSICO","X","")</f>
      </c>
      <c r="M464" s="73">
        <f>IF([1]DADOS!H445="5M","X","")</f>
      </c>
      <c r="N464" s="73">
        <f>IF([1]DADOS!H445="7M","X","")</f>
      </c>
      <c r="O464" s="73">
        <f>IF([1]DADOS!H445="PP","X","")</f>
      </c>
      <c r="P464" s="73"/>
      <c r="Q464" s="73"/>
      <c r="R464" s="73"/>
      <c r="S464" s="79"/>
      <c r="T464" s="80"/>
      <c r="U464" s="78">
        <f>IF([1]DADOS!F445="","",[1]DADOS!F445)</f>
      </c>
      <c r="V464" s="81">
        <f>IF(C464="","",[1]DADOS!$D$8)</f>
      </c>
    </row>
    <row r="465" ht="21" customHeight="1" spans="2:22" x14ac:dyDescent="0.25">
      <c r="B465" s="73">
        <v>436</v>
      </c>
      <c r="C465" s="74">
        <f>IF([1]DADOS!D446="","",[1]DADOS!D446)</f>
      </c>
      <c r="D465" s="75"/>
      <c r="E465" s="76"/>
      <c r="F465" s="76"/>
      <c r="G465" s="77"/>
      <c r="H465" s="74"/>
      <c r="I465" s="78">
        <f>IF([1]DADOS!G446="","",[1]DADOS!G446)</f>
      </c>
      <c r="J465" s="73">
        <f>IF([1]DADOS!I446="MONOFÁSICO","X","")</f>
      </c>
      <c r="K465" s="73">
        <f>IF([1]DADOS!I446="BIFÁSICO","X","")</f>
      </c>
      <c r="L465" s="73">
        <f>IF([1]DADOS!I446="TRIFÁSICO","X","")</f>
      </c>
      <c r="M465" s="73">
        <f>IF([1]DADOS!H446="5M","X","")</f>
      </c>
      <c r="N465" s="73">
        <f>IF([1]DADOS!H446="7M","X","")</f>
      </c>
      <c r="O465" s="73">
        <f>IF([1]DADOS!H446="PP","X","")</f>
      </c>
      <c r="P465" s="73"/>
      <c r="Q465" s="73"/>
      <c r="R465" s="73"/>
      <c r="S465" s="79"/>
      <c r="T465" s="80"/>
      <c r="U465" s="78">
        <f>IF([1]DADOS!F446="","",[1]DADOS!F446)</f>
      </c>
      <c r="V465" s="81">
        <f>IF(C465="","",[1]DADOS!$D$8)</f>
      </c>
    </row>
    <row r="466" ht="21" customHeight="1" spans="2:22" x14ac:dyDescent="0.25">
      <c r="B466" s="73">
        <v>437</v>
      </c>
      <c r="C466" s="74">
        <f>IF([1]DADOS!D447="","",[1]DADOS!D447)</f>
      </c>
      <c r="D466" s="75"/>
      <c r="E466" s="76"/>
      <c r="F466" s="76"/>
      <c r="G466" s="77"/>
      <c r="H466" s="74"/>
      <c r="I466" s="78">
        <f>IF([1]DADOS!G447="","",[1]DADOS!G447)</f>
      </c>
      <c r="J466" s="73">
        <f>IF([1]DADOS!I447="MONOFÁSICO","X","")</f>
      </c>
      <c r="K466" s="73">
        <f>IF([1]DADOS!I447="BIFÁSICO","X","")</f>
      </c>
      <c r="L466" s="73">
        <f>IF([1]DADOS!I447="TRIFÁSICO","X","")</f>
      </c>
      <c r="M466" s="73">
        <f>IF([1]DADOS!H447="5M","X","")</f>
      </c>
      <c r="N466" s="73">
        <f>IF([1]DADOS!H447="7M","X","")</f>
      </c>
      <c r="O466" s="73">
        <f>IF([1]DADOS!H447="PP","X","")</f>
      </c>
      <c r="P466" s="73"/>
      <c r="Q466" s="73"/>
      <c r="R466" s="73"/>
      <c r="S466" s="79"/>
      <c r="T466" s="80"/>
      <c r="U466" s="78">
        <f>IF([1]DADOS!F447="","",[1]DADOS!F447)</f>
      </c>
      <c r="V466" s="81">
        <f>IF(C466="","",[1]DADOS!$D$8)</f>
      </c>
    </row>
    <row r="467" ht="21" customHeight="1" spans="2:22" x14ac:dyDescent="0.25">
      <c r="B467" s="73">
        <v>438</v>
      </c>
      <c r="C467" s="74">
        <f>IF([1]DADOS!D448="","",[1]DADOS!D448)</f>
      </c>
      <c r="D467" s="75"/>
      <c r="E467" s="76"/>
      <c r="F467" s="76"/>
      <c r="G467" s="77"/>
      <c r="H467" s="74"/>
      <c r="I467" s="78">
        <f>IF([1]DADOS!G448="","",[1]DADOS!G448)</f>
      </c>
      <c r="J467" s="73">
        <f>IF([1]DADOS!I448="MONOFÁSICO","X","")</f>
      </c>
      <c r="K467" s="73">
        <f>IF([1]DADOS!I448="BIFÁSICO","X","")</f>
      </c>
      <c r="L467" s="73">
        <f>IF([1]DADOS!I448="TRIFÁSICO","X","")</f>
      </c>
      <c r="M467" s="73">
        <f>IF([1]DADOS!H448="5M","X","")</f>
      </c>
      <c r="N467" s="73">
        <f>IF([1]DADOS!H448="7M","X","")</f>
      </c>
      <c r="O467" s="73">
        <f>IF([1]DADOS!H448="PP","X","")</f>
      </c>
      <c r="P467" s="73"/>
      <c r="Q467" s="73"/>
      <c r="R467" s="73"/>
      <c r="S467" s="79"/>
      <c r="T467" s="80"/>
      <c r="U467" s="78">
        <f>IF([1]DADOS!F448="","",[1]DADOS!F448)</f>
      </c>
      <c r="V467" s="81">
        <f>IF(C467="","",[1]DADOS!$D$8)</f>
      </c>
    </row>
    <row r="468" ht="21" customHeight="1" spans="2:22" x14ac:dyDescent="0.25">
      <c r="B468" s="73">
        <v>439</v>
      </c>
      <c r="C468" s="74">
        <f>IF([1]DADOS!D449="","",[1]DADOS!D449)</f>
      </c>
      <c r="D468" s="75"/>
      <c r="E468" s="76"/>
      <c r="F468" s="76"/>
      <c r="G468" s="77"/>
      <c r="H468" s="74"/>
      <c r="I468" s="78">
        <f>IF([1]DADOS!G449="","",[1]DADOS!G449)</f>
      </c>
      <c r="J468" s="73">
        <f>IF([1]DADOS!I449="MONOFÁSICO","X","")</f>
      </c>
      <c r="K468" s="73">
        <f>IF([1]DADOS!I449="BIFÁSICO","X","")</f>
      </c>
      <c r="L468" s="73">
        <f>IF([1]DADOS!I449="TRIFÁSICO","X","")</f>
      </c>
      <c r="M468" s="73">
        <f>IF([1]DADOS!H449="5M","X","")</f>
      </c>
      <c r="N468" s="73">
        <f>IF([1]DADOS!H449="7M","X","")</f>
      </c>
      <c r="O468" s="73">
        <f>IF([1]DADOS!H449="PP","X","")</f>
      </c>
      <c r="P468" s="73"/>
      <c r="Q468" s="73"/>
      <c r="R468" s="73"/>
      <c r="S468" s="79"/>
      <c r="T468" s="80"/>
      <c r="U468" s="78">
        <f>IF([1]DADOS!F449="","",[1]DADOS!F449)</f>
      </c>
      <c r="V468" s="81">
        <f>IF(C468="","",[1]DADOS!$D$8)</f>
      </c>
    </row>
    <row r="469" ht="21" customHeight="1" spans="2:22" x14ac:dyDescent="0.25">
      <c r="B469" s="73">
        <v>440</v>
      </c>
      <c r="C469" s="74">
        <f>IF([1]DADOS!D450="","",[1]DADOS!D450)</f>
      </c>
      <c r="D469" s="75"/>
      <c r="E469" s="76"/>
      <c r="F469" s="76"/>
      <c r="G469" s="77"/>
      <c r="H469" s="74"/>
      <c r="I469" s="78">
        <f>IF([1]DADOS!G450="","",[1]DADOS!G450)</f>
      </c>
      <c r="J469" s="73">
        <f>IF([1]DADOS!I450="MONOFÁSICO","X","")</f>
      </c>
      <c r="K469" s="73">
        <f>IF([1]DADOS!I450="BIFÁSICO","X","")</f>
      </c>
      <c r="L469" s="73">
        <f>IF([1]DADOS!I450="TRIFÁSICO","X","")</f>
      </c>
      <c r="M469" s="73">
        <f>IF([1]DADOS!H450="5M","X","")</f>
      </c>
      <c r="N469" s="73">
        <f>IF([1]DADOS!H450="7M","X","")</f>
      </c>
      <c r="O469" s="73">
        <f>IF([1]DADOS!H450="PP","X","")</f>
      </c>
      <c r="P469" s="73"/>
      <c r="Q469" s="73"/>
      <c r="R469" s="73"/>
      <c r="S469" s="79"/>
      <c r="T469" s="80"/>
      <c r="U469" s="78">
        <f>IF([1]DADOS!F450="","",[1]DADOS!F450)</f>
      </c>
      <c r="V469" s="81">
        <f>IF(C469="","",[1]DADOS!$D$8)</f>
      </c>
    </row>
    <row r="470" ht="21" customHeight="1" spans="2:22" x14ac:dyDescent="0.25">
      <c r="B470" s="73">
        <v>441</v>
      </c>
      <c r="C470" s="74">
        <f>IF([1]DADOS!D451="","",[1]DADOS!D451)</f>
      </c>
      <c r="D470" s="75"/>
      <c r="E470" s="76"/>
      <c r="F470" s="76"/>
      <c r="G470" s="77"/>
      <c r="H470" s="74"/>
      <c r="I470" s="78">
        <f>IF([1]DADOS!G451="","",[1]DADOS!G451)</f>
      </c>
      <c r="J470" s="73">
        <f>IF([1]DADOS!I451="MONOFÁSICO","X","")</f>
      </c>
      <c r="K470" s="73">
        <f>IF([1]DADOS!I451="BIFÁSICO","X","")</f>
      </c>
      <c r="L470" s="73">
        <f>IF([1]DADOS!I451="TRIFÁSICO","X","")</f>
      </c>
      <c r="M470" s="73">
        <f>IF([1]DADOS!H451="5M","X","")</f>
      </c>
      <c r="N470" s="73">
        <f>IF([1]DADOS!H451="7M","X","")</f>
      </c>
      <c r="O470" s="73">
        <f>IF([1]DADOS!H451="PP","X","")</f>
      </c>
      <c r="P470" s="73"/>
      <c r="Q470" s="73"/>
      <c r="R470" s="73"/>
      <c r="S470" s="79"/>
      <c r="T470" s="80"/>
      <c r="U470" s="78">
        <f>IF([1]DADOS!F451="","",[1]DADOS!F451)</f>
      </c>
      <c r="V470" s="81">
        <f>IF(C470="","",[1]DADOS!$D$8)</f>
      </c>
    </row>
    <row r="471" ht="21" customHeight="1" spans="2:22" x14ac:dyDescent="0.25">
      <c r="B471" s="73">
        <v>442</v>
      </c>
      <c r="C471" s="74">
        <f>IF([1]DADOS!D452="","",[1]DADOS!D452)</f>
      </c>
      <c r="D471" s="75"/>
      <c r="E471" s="76"/>
      <c r="F471" s="76"/>
      <c r="G471" s="77"/>
      <c r="H471" s="74"/>
      <c r="I471" s="78">
        <f>IF([1]DADOS!G452="","",[1]DADOS!G452)</f>
      </c>
      <c r="J471" s="73">
        <f>IF([1]DADOS!I452="MONOFÁSICO","X","")</f>
      </c>
      <c r="K471" s="73">
        <f>IF([1]DADOS!I452="BIFÁSICO","X","")</f>
      </c>
      <c r="L471" s="73">
        <f>IF([1]DADOS!I452="TRIFÁSICO","X","")</f>
      </c>
      <c r="M471" s="73">
        <f>IF([1]DADOS!H452="5M","X","")</f>
      </c>
      <c r="N471" s="73">
        <f>IF([1]DADOS!H452="7M","X","")</f>
      </c>
      <c r="O471" s="73">
        <f>IF([1]DADOS!H452="PP","X","")</f>
      </c>
      <c r="P471" s="73"/>
      <c r="Q471" s="73"/>
      <c r="R471" s="73"/>
      <c r="S471" s="79"/>
      <c r="T471" s="80"/>
      <c r="U471" s="78">
        <f>IF([1]DADOS!F452="","",[1]DADOS!F452)</f>
      </c>
      <c r="V471" s="81">
        <f>IF(C471="","",[1]DADOS!$D$8)</f>
      </c>
    </row>
    <row r="472" ht="21" customHeight="1" spans="2:22" x14ac:dyDescent="0.25">
      <c r="B472" s="73">
        <v>443</v>
      </c>
      <c r="C472" s="74">
        <f>IF([1]DADOS!D453="","",[1]DADOS!D453)</f>
      </c>
      <c r="D472" s="75"/>
      <c r="E472" s="76"/>
      <c r="F472" s="76"/>
      <c r="G472" s="77"/>
      <c r="H472" s="74"/>
      <c r="I472" s="78">
        <f>IF([1]DADOS!G453="","",[1]DADOS!G453)</f>
      </c>
      <c r="J472" s="73">
        <f>IF([1]DADOS!I453="MONOFÁSICO","X","")</f>
      </c>
      <c r="K472" s="73">
        <f>IF([1]DADOS!I453="BIFÁSICO","X","")</f>
      </c>
      <c r="L472" s="73">
        <f>IF([1]DADOS!I453="TRIFÁSICO","X","")</f>
      </c>
      <c r="M472" s="73">
        <f>IF([1]DADOS!H453="5M","X","")</f>
      </c>
      <c r="N472" s="73">
        <f>IF([1]DADOS!H453="7M","X","")</f>
      </c>
      <c r="O472" s="73">
        <f>IF([1]DADOS!H453="PP","X","")</f>
      </c>
      <c r="P472" s="73"/>
      <c r="Q472" s="73"/>
      <c r="R472" s="73"/>
      <c r="S472" s="79"/>
      <c r="T472" s="80"/>
      <c r="U472" s="78">
        <f>IF([1]DADOS!F453="","",[1]DADOS!F453)</f>
      </c>
      <c r="V472" s="81">
        <f>IF(C472="","",[1]DADOS!$D$8)</f>
      </c>
    </row>
    <row r="473" ht="21" customHeight="1" spans="2:22" x14ac:dyDescent="0.25">
      <c r="B473" s="73">
        <v>444</v>
      </c>
      <c r="C473" s="74">
        <f>IF([1]DADOS!D454="","",[1]DADOS!D454)</f>
      </c>
      <c r="D473" s="75"/>
      <c r="E473" s="76"/>
      <c r="F473" s="76"/>
      <c r="G473" s="77"/>
      <c r="H473" s="74"/>
      <c r="I473" s="78">
        <f>IF([1]DADOS!G454="","",[1]DADOS!G454)</f>
      </c>
      <c r="J473" s="73">
        <f>IF([1]DADOS!I454="MONOFÁSICO","X","")</f>
      </c>
      <c r="K473" s="73">
        <f>IF([1]DADOS!I454="BIFÁSICO","X","")</f>
      </c>
      <c r="L473" s="73">
        <f>IF([1]DADOS!I454="TRIFÁSICO","X","")</f>
      </c>
      <c r="M473" s="73">
        <f>IF([1]DADOS!H454="5M","X","")</f>
      </c>
      <c r="N473" s="73">
        <f>IF([1]DADOS!H454="7M","X","")</f>
      </c>
      <c r="O473" s="73">
        <f>IF([1]DADOS!H454="PP","X","")</f>
      </c>
      <c r="P473" s="73"/>
      <c r="Q473" s="73"/>
      <c r="R473" s="73"/>
      <c r="S473" s="79"/>
      <c r="T473" s="80"/>
      <c r="U473" s="78">
        <f>IF([1]DADOS!F454="","",[1]DADOS!F454)</f>
      </c>
      <c r="V473" s="81">
        <f>IF(C473="","",[1]DADOS!$D$8)</f>
      </c>
    </row>
    <row r="474" ht="21" customHeight="1" spans="2:22" x14ac:dyDescent="0.25">
      <c r="B474" s="73">
        <v>445</v>
      </c>
      <c r="C474" s="74">
        <f>IF([1]DADOS!D455="","",[1]DADOS!D455)</f>
      </c>
      <c r="D474" s="75"/>
      <c r="E474" s="76"/>
      <c r="F474" s="76"/>
      <c r="G474" s="77"/>
      <c r="H474" s="74"/>
      <c r="I474" s="78">
        <f>IF([1]DADOS!G455="","",[1]DADOS!G455)</f>
      </c>
      <c r="J474" s="73">
        <f>IF([1]DADOS!I455="MONOFÁSICO","X","")</f>
      </c>
      <c r="K474" s="73">
        <f>IF([1]DADOS!I455="BIFÁSICO","X","")</f>
      </c>
      <c r="L474" s="73">
        <f>IF([1]DADOS!I455="TRIFÁSICO","X","")</f>
      </c>
      <c r="M474" s="73">
        <f>IF([1]DADOS!H455="5M","X","")</f>
      </c>
      <c r="N474" s="73">
        <f>IF([1]DADOS!H455="7M","X","")</f>
      </c>
      <c r="O474" s="73">
        <f>IF([1]DADOS!H455="PP","X","")</f>
      </c>
      <c r="P474" s="73"/>
      <c r="Q474" s="73"/>
      <c r="R474" s="73"/>
      <c r="S474" s="79"/>
      <c r="T474" s="80"/>
      <c r="U474" s="78">
        <f>IF([1]DADOS!F455="","",[1]DADOS!F455)</f>
      </c>
      <c r="V474" s="81">
        <f>IF(C474="","",[1]DADOS!$D$8)</f>
      </c>
    </row>
    <row r="475" ht="21" customHeight="1" spans="2:22" x14ac:dyDescent="0.25">
      <c r="B475" s="73">
        <v>446</v>
      </c>
      <c r="C475" s="74">
        <f>IF([1]DADOS!D456="","",[1]DADOS!D456)</f>
      </c>
      <c r="D475" s="75"/>
      <c r="E475" s="76"/>
      <c r="F475" s="76"/>
      <c r="G475" s="77"/>
      <c r="H475" s="74"/>
      <c r="I475" s="78">
        <f>IF([1]DADOS!G456="","",[1]DADOS!G456)</f>
      </c>
      <c r="J475" s="73">
        <f>IF([1]DADOS!I456="MONOFÁSICO","X","")</f>
      </c>
      <c r="K475" s="73">
        <f>IF([1]DADOS!I456="BIFÁSICO","X","")</f>
      </c>
      <c r="L475" s="73">
        <f>IF([1]DADOS!I456="TRIFÁSICO","X","")</f>
      </c>
      <c r="M475" s="73">
        <f>IF([1]DADOS!H456="5M","X","")</f>
      </c>
      <c r="N475" s="73">
        <f>IF([1]DADOS!H456="7M","X","")</f>
      </c>
      <c r="O475" s="73">
        <f>IF([1]DADOS!H456="PP","X","")</f>
      </c>
      <c r="P475" s="73"/>
      <c r="Q475" s="73"/>
      <c r="R475" s="73"/>
      <c r="S475" s="79"/>
      <c r="T475" s="80"/>
      <c r="U475" s="78">
        <f>IF([1]DADOS!F456="","",[1]DADOS!F456)</f>
      </c>
      <c r="V475" s="81">
        <f>IF(C475="","",[1]DADOS!$D$8)</f>
      </c>
    </row>
    <row r="476" ht="21" customHeight="1" spans="2:22" x14ac:dyDescent="0.25">
      <c r="B476" s="73">
        <v>447</v>
      </c>
      <c r="C476" s="74">
        <f>IF([1]DADOS!D457="","",[1]DADOS!D457)</f>
      </c>
      <c r="D476" s="75"/>
      <c r="E476" s="76"/>
      <c r="F476" s="76"/>
      <c r="G476" s="77"/>
      <c r="H476" s="74"/>
      <c r="I476" s="78">
        <f>IF([1]DADOS!G457="","",[1]DADOS!G457)</f>
      </c>
      <c r="J476" s="73">
        <f>IF([1]DADOS!I457="MONOFÁSICO","X","")</f>
      </c>
      <c r="K476" s="73">
        <f>IF([1]DADOS!I457="BIFÁSICO","X","")</f>
      </c>
      <c r="L476" s="73">
        <f>IF([1]DADOS!I457="TRIFÁSICO","X","")</f>
      </c>
      <c r="M476" s="73">
        <f>IF([1]DADOS!H457="5M","X","")</f>
      </c>
      <c r="N476" s="73">
        <f>IF([1]DADOS!H457="7M","X","")</f>
      </c>
      <c r="O476" s="73">
        <f>IF([1]DADOS!H457="PP","X","")</f>
      </c>
      <c r="P476" s="73"/>
      <c r="Q476" s="73"/>
      <c r="R476" s="73"/>
      <c r="S476" s="79"/>
      <c r="T476" s="80"/>
      <c r="U476" s="78">
        <f>IF([1]DADOS!F457="","",[1]DADOS!F457)</f>
      </c>
      <c r="V476" s="81">
        <f>IF(C476="","",[1]DADOS!$D$8)</f>
      </c>
    </row>
    <row r="477" ht="21" customHeight="1" spans="2:22" x14ac:dyDescent="0.25">
      <c r="B477" s="73">
        <v>448</v>
      </c>
      <c r="C477" s="74">
        <f>IF([1]DADOS!D458="","",[1]DADOS!D458)</f>
      </c>
      <c r="D477" s="75"/>
      <c r="E477" s="76"/>
      <c r="F477" s="76"/>
      <c r="G477" s="77"/>
      <c r="H477" s="74"/>
      <c r="I477" s="78">
        <f>IF([1]DADOS!G458="","",[1]DADOS!G458)</f>
      </c>
      <c r="J477" s="73">
        <f>IF([1]DADOS!I458="MONOFÁSICO","X","")</f>
      </c>
      <c r="K477" s="73">
        <f>IF([1]DADOS!I458="BIFÁSICO","X","")</f>
      </c>
      <c r="L477" s="73">
        <f>IF([1]DADOS!I458="TRIFÁSICO","X","")</f>
      </c>
      <c r="M477" s="73">
        <f>IF([1]DADOS!H458="5M","X","")</f>
      </c>
      <c r="N477" s="73">
        <f>IF([1]DADOS!H458="7M","X","")</f>
      </c>
      <c r="O477" s="73">
        <f>IF([1]DADOS!H458="PP","X","")</f>
      </c>
      <c r="P477" s="73"/>
      <c r="Q477" s="73"/>
      <c r="R477" s="73"/>
      <c r="S477" s="79"/>
      <c r="T477" s="80"/>
      <c r="U477" s="78">
        <f>IF([1]DADOS!F458="","",[1]DADOS!F458)</f>
      </c>
      <c r="V477" s="81">
        <f>IF(C477="","",[1]DADOS!$D$8)</f>
      </c>
    </row>
    <row r="478" ht="21" customHeight="1" spans="2:22" x14ac:dyDescent="0.25">
      <c r="B478" s="73">
        <v>449</v>
      </c>
      <c r="C478" s="74">
        <f>IF([1]DADOS!D459="","",[1]DADOS!D459)</f>
      </c>
      <c r="D478" s="75"/>
      <c r="E478" s="76"/>
      <c r="F478" s="76"/>
      <c r="G478" s="77"/>
      <c r="H478" s="74"/>
      <c r="I478" s="78">
        <f>IF([1]DADOS!G459="","",[1]DADOS!G459)</f>
      </c>
      <c r="J478" s="73">
        <f>IF([1]DADOS!I459="MONOFÁSICO","X","")</f>
      </c>
      <c r="K478" s="73">
        <f>IF([1]DADOS!I459="BIFÁSICO","X","")</f>
      </c>
      <c r="L478" s="73">
        <f>IF([1]DADOS!I459="TRIFÁSICO","X","")</f>
      </c>
      <c r="M478" s="73">
        <f>IF([1]DADOS!H459="5M","X","")</f>
      </c>
      <c r="N478" s="73">
        <f>IF([1]DADOS!H459="7M","X","")</f>
      </c>
      <c r="O478" s="73">
        <f>IF([1]DADOS!H459="PP","X","")</f>
      </c>
      <c r="P478" s="73"/>
      <c r="Q478" s="73"/>
      <c r="R478" s="73"/>
      <c r="S478" s="79"/>
      <c r="T478" s="80"/>
      <c r="U478" s="78">
        <f>IF([1]DADOS!F459="","",[1]DADOS!F459)</f>
      </c>
      <c r="V478" s="81">
        <f>IF(C478="","",[1]DADOS!$D$8)</f>
      </c>
    </row>
    <row r="479" ht="21" customHeight="1" spans="2:22" x14ac:dyDescent="0.25">
      <c r="B479" s="73">
        <v>450</v>
      </c>
      <c r="C479" s="74">
        <f>IF([1]DADOS!D460="","",[1]DADOS!D460)</f>
      </c>
      <c r="D479" s="75"/>
      <c r="E479" s="76"/>
      <c r="F479" s="76"/>
      <c r="G479" s="77"/>
      <c r="H479" s="74"/>
      <c r="I479" s="78">
        <f>IF([1]DADOS!G460="","",[1]DADOS!G460)</f>
      </c>
      <c r="J479" s="73">
        <f>IF([1]DADOS!I460="MONOFÁSICO","X","")</f>
      </c>
      <c r="K479" s="73">
        <f>IF([1]DADOS!I460="BIFÁSICO","X","")</f>
      </c>
      <c r="L479" s="73">
        <f>IF([1]DADOS!I460="TRIFÁSICO","X","")</f>
      </c>
      <c r="M479" s="73">
        <f>IF([1]DADOS!H460="5M","X","")</f>
      </c>
      <c r="N479" s="73">
        <f>IF([1]DADOS!H460="7M","X","")</f>
      </c>
      <c r="O479" s="73">
        <f>IF([1]DADOS!H460="PP","X","")</f>
      </c>
      <c r="P479" s="73"/>
      <c r="Q479" s="73"/>
      <c r="R479" s="73"/>
      <c r="S479" s="79"/>
      <c r="T479" s="80"/>
      <c r="U479" s="78">
        <f>IF([1]DADOS!F460="","",[1]DADOS!F460)</f>
      </c>
      <c r="V479" s="81">
        <f>IF(C479="","",[1]DADOS!$D$8)</f>
      </c>
    </row>
    <row r="480" ht="21" customHeight="1" spans="2:22" x14ac:dyDescent="0.25">
      <c r="B480" s="73">
        <v>451</v>
      </c>
      <c r="C480" s="74">
        <f>IF([1]DADOS!D461="","",[1]DADOS!D461)</f>
      </c>
      <c r="D480" s="75"/>
      <c r="E480" s="76"/>
      <c r="F480" s="76"/>
      <c r="G480" s="77"/>
      <c r="H480" s="74"/>
      <c r="I480" s="78">
        <f>IF([1]DADOS!G461="","",[1]DADOS!G461)</f>
      </c>
      <c r="J480" s="73">
        <f>IF([1]DADOS!I461="MONOFÁSICO","X","")</f>
      </c>
      <c r="K480" s="73">
        <f>IF([1]DADOS!I461="BIFÁSICO","X","")</f>
      </c>
      <c r="L480" s="73">
        <f>IF([1]DADOS!I461="TRIFÁSICO","X","")</f>
      </c>
      <c r="M480" s="73">
        <f>IF([1]DADOS!H461="5M","X","")</f>
      </c>
      <c r="N480" s="73">
        <f>IF([1]DADOS!H461="7M","X","")</f>
      </c>
      <c r="O480" s="73">
        <f>IF([1]DADOS!H461="PP","X","")</f>
      </c>
      <c r="P480" s="73"/>
      <c r="Q480" s="73"/>
      <c r="R480" s="73"/>
      <c r="S480" s="79"/>
      <c r="T480" s="80"/>
      <c r="U480" s="78">
        <f>IF([1]DADOS!F461="","",[1]DADOS!F461)</f>
      </c>
      <c r="V480" s="81">
        <f>IF(C480="","",[1]DADOS!$D$8)</f>
      </c>
    </row>
    <row r="481" ht="21" customHeight="1" spans="2:22" x14ac:dyDescent="0.25">
      <c r="B481" s="73">
        <v>452</v>
      </c>
      <c r="C481" s="74">
        <f>IF([1]DADOS!D462="","",[1]DADOS!D462)</f>
      </c>
      <c r="D481" s="75"/>
      <c r="E481" s="76"/>
      <c r="F481" s="76"/>
      <c r="G481" s="77"/>
      <c r="H481" s="74"/>
      <c r="I481" s="78">
        <f>IF([1]DADOS!G462="","",[1]DADOS!G462)</f>
      </c>
      <c r="J481" s="73">
        <f>IF([1]DADOS!I462="MONOFÁSICO","X","")</f>
      </c>
      <c r="K481" s="73">
        <f>IF([1]DADOS!I462="BIFÁSICO","X","")</f>
      </c>
      <c r="L481" s="73">
        <f>IF([1]DADOS!I462="TRIFÁSICO","X","")</f>
      </c>
      <c r="M481" s="73">
        <f>IF([1]DADOS!H462="5M","X","")</f>
      </c>
      <c r="N481" s="73">
        <f>IF([1]DADOS!H462="7M","X","")</f>
      </c>
      <c r="O481" s="73">
        <f>IF([1]DADOS!H462="PP","X","")</f>
      </c>
      <c r="P481" s="73"/>
      <c r="Q481" s="73"/>
      <c r="R481" s="73"/>
      <c r="S481" s="79"/>
      <c r="T481" s="80"/>
      <c r="U481" s="78">
        <f>IF([1]DADOS!F462="","",[1]DADOS!F462)</f>
      </c>
      <c r="V481" s="81">
        <f>IF(C481="","",[1]DADOS!$D$8)</f>
      </c>
    </row>
    <row r="482" ht="21" customHeight="1" spans="2:22" x14ac:dyDescent="0.25">
      <c r="B482" s="73">
        <v>453</v>
      </c>
      <c r="C482" s="74">
        <f>IF([1]DADOS!D463="","",[1]DADOS!D463)</f>
      </c>
      <c r="D482" s="75"/>
      <c r="E482" s="76"/>
      <c r="F482" s="76"/>
      <c r="G482" s="77"/>
      <c r="H482" s="74"/>
      <c r="I482" s="78">
        <f>IF([1]DADOS!G463="","",[1]DADOS!G463)</f>
      </c>
      <c r="J482" s="73">
        <f>IF([1]DADOS!I463="MONOFÁSICO","X","")</f>
      </c>
      <c r="K482" s="73">
        <f>IF([1]DADOS!I463="BIFÁSICO","X","")</f>
      </c>
      <c r="L482" s="73">
        <f>IF([1]DADOS!I463="TRIFÁSICO","X","")</f>
      </c>
      <c r="M482" s="73">
        <f>IF([1]DADOS!H463="5M","X","")</f>
      </c>
      <c r="N482" s="73">
        <f>IF([1]DADOS!H463="7M","X","")</f>
      </c>
      <c r="O482" s="73">
        <f>IF([1]DADOS!H463="PP","X","")</f>
      </c>
      <c r="P482" s="73"/>
      <c r="Q482" s="73"/>
      <c r="R482" s="73"/>
      <c r="S482" s="79"/>
      <c r="T482" s="80"/>
      <c r="U482" s="78">
        <f>IF([1]DADOS!F463="","",[1]DADOS!F463)</f>
      </c>
      <c r="V482" s="81">
        <f>IF(C482="","",[1]DADOS!$D$8)</f>
      </c>
    </row>
    <row r="483" ht="21" customHeight="1" spans="2:22" x14ac:dyDescent="0.25">
      <c r="B483" s="73">
        <v>454</v>
      </c>
      <c r="C483" s="74">
        <f>IF([1]DADOS!D464="","",[1]DADOS!D464)</f>
      </c>
      <c r="D483" s="75"/>
      <c r="E483" s="76"/>
      <c r="F483" s="76"/>
      <c r="G483" s="77"/>
      <c r="H483" s="74"/>
      <c r="I483" s="78">
        <f>IF([1]DADOS!G464="","",[1]DADOS!G464)</f>
      </c>
      <c r="J483" s="73">
        <f>IF([1]DADOS!I464="MONOFÁSICO","X","")</f>
      </c>
      <c r="K483" s="73">
        <f>IF([1]DADOS!I464="BIFÁSICO","X","")</f>
      </c>
      <c r="L483" s="73">
        <f>IF([1]DADOS!I464="TRIFÁSICO","X","")</f>
      </c>
      <c r="M483" s="73">
        <f>IF([1]DADOS!H464="5M","X","")</f>
      </c>
      <c r="N483" s="73">
        <f>IF([1]DADOS!H464="7M","X","")</f>
      </c>
      <c r="O483" s="73">
        <f>IF([1]DADOS!H464="PP","X","")</f>
      </c>
      <c r="P483" s="73"/>
      <c r="Q483" s="73"/>
      <c r="R483" s="73"/>
      <c r="S483" s="79"/>
      <c r="T483" s="80"/>
      <c r="U483" s="78">
        <f>IF([1]DADOS!F464="","",[1]DADOS!F464)</f>
      </c>
      <c r="V483" s="81">
        <f>IF(C483="","",[1]DADOS!$D$8)</f>
      </c>
    </row>
    <row r="484" ht="21" customHeight="1" spans="2:22" x14ac:dyDescent="0.25">
      <c r="B484" s="73">
        <v>455</v>
      </c>
      <c r="C484" s="74">
        <f>IF([1]DADOS!D465="","",[1]DADOS!D465)</f>
      </c>
      <c r="D484" s="75"/>
      <c r="E484" s="76"/>
      <c r="F484" s="76"/>
      <c r="G484" s="77"/>
      <c r="H484" s="74"/>
      <c r="I484" s="78">
        <f>IF([1]DADOS!G465="","",[1]DADOS!G465)</f>
      </c>
      <c r="J484" s="73">
        <f>IF([1]DADOS!I465="MONOFÁSICO","X","")</f>
      </c>
      <c r="K484" s="73">
        <f>IF([1]DADOS!I465="BIFÁSICO","X","")</f>
      </c>
      <c r="L484" s="73">
        <f>IF([1]DADOS!I465="TRIFÁSICO","X","")</f>
      </c>
      <c r="M484" s="73">
        <f>IF([1]DADOS!H465="5M","X","")</f>
      </c>
      <c r="N484" s="73">
        <f>IF([1]DADOS!H465="7M","X","")</f>
      </c>
      <c r="O484" s="73">
        <f>IF([1]DADOS!H465="PP","X","")</f>
      </c>
      <c r="P484" s="73"/>
      <c r="Q484" s="73"/>
      <c r="R484" s="73"/>
      <c r="S484" s="79"/>
      <c r="T484" s="80"/>
      <c r="U484" s="78">
        <f>IF([1]DADOS!F465="","",[1]DADOS!F465)</f>
      </c>
      <c r="V484" s="81">
        <f>IF(C484="","",[1]DADOS!$D$8)</f>
      </c>
    </row>
    <row r="485" ht="21" customHeight="1" spans="2:22" x14ac:dyDescent="0.25">
      <c r="B485" s="73">
        <v>456</v>
      </c>
      <c r="C485" s="74">
        <f>IF([1]DADOS!D466="","",[1]DADOS!D466)</f>
      </c>
      <c r="D485" s="75"/>
      <c r="E485" s="76"/>
      <c r="F485" s="76"/>
      <c r="G485" s="77"/>
      <c r="H485" s="74"/>
      <c r="I485" s="78">
        <f>IF([1]DADOS!G466="","",[1]DADOS!G466)</f>
      </c>
      <c r="J485" s="73">
        <f>IF([1]DADOS!I466="MONOFÁSICO","X","")</f>
      </c>
      <c r="K485" s="73">
        <f>IF([1]DADOS!I466="BIFÁSICO","X","")</f>
      </c>
      <c r="L485" s="73">
        <f>IF([1]DADOS!I466="TRIFÁSICO","X","")</f>
      </c>
      <c r="M485" s="73">
        <f>IF([1]DADOS!H466="5M","X","")</f>
      </c>
      <c r="N485" s="73">
        <f>IF([1]DADOS!H466="7M","X","")</f>
      </c>
      <c r="O485" s="73">
        <f>IF([1]DADOS!H466="PP","X","")</f>
      </c>
      <c r="P485" s="73"/>
      <c r="Q485" s="73"/>
      <c r="R485" s="73"/>
      <c r="S485" s="79"/>
      <c r="T485" s="80"/>
      <c r="U485" s="78">
        <f>IF([1]DADOS!F466="","",[1]DADOS!F466)</f>
      </c>
      <c r="V485" s="81">
        <f>IF(C485="","",[1]DADOS!$D$8)</f>
      </c>
    </row>
    <row r="486" ht="21" customHeight="1" spans="2:22" x14ac:dyDescent="0.25">
      <c r="B486" s="73">
        <v>457</v>
      </c>
      <c r="C486" s="74">
        <f>IF([1]DADOS!D467="","",[1]DADOS!D467)</f>
      </c>
      <c r="D486" s="75"/>
      <c r="E486" s="76"/>
      <c r="F486" s="76"/>
      <c r="G486" s="77"/>
      <c r="H486" s="74"/>
      <c r="I486" s="78">
        <f>IF([1]DADOS!G467="","",[1]DADOS!G467)</f>
      </c>
      <c r="J486" s="73">
        <f>IF([1]DADOS!I467="MONOFÁSICO","X","")</f>
      </c>
      <c r="K486" s="73">
        <f>IF([1]DADOS!I467="BIFÁSICO","X","")</f>
      </c>
      <c r="L486" s="73">
        <f>IF([1]DADOS!I467="TRIFÁSICO","X","")</f>
      </c>
      <c r="M486" s="73">
        <f>IF([1]DADOS!H467="5M","X","")</f>
      </c>
      <c r="N486" s="73">
        <f>IF([1]DADOS!H467="7M","X","")</f>
      </c>
      <c r="O486" s="73">
        <f>IF([1]DADOS!H467="PP","X","")</f>
      </c>
      <c r="P486" s="73"/>
      <c r="Q486" s="73"/>
      <c r="R486" s="73"/>
      <c r="S486" s="79"/>
      <c r="T486" s="80"/>
      <c r="U486" s="78">
        <f>IF([1]DADOS!F467="","",[1]DADOS!F467)</f>
      </c>
      <c r="V486" s="81">
        <f>IF(C486="","",[1]DADOS!$D$8)</f>
      </c>
    </row>
    <row r="487" ht="21" customHeight="1" spans="2:22" x14ac:dyDescent="0.25">
      <c r="B487" s="73">
        <v>458</v>
      </c>
      <c r="C487" s="74">
        <f>IF([1]DADOS!D468="","",[1]DADOS!D468)</f>
      </c>
      <c r="D487" s="75"/>
      <c r="E487" s="76"/>
      <c r="F487" s="76"/>
      <c r="G487" s="77"/>
      <c r="H487" s="74"/>
      <c r="I487" s="78">
        <f>IF([1]DADOS!G468="","",[1]DADOS!G468)</f>
      </c>
      <c r="J487" s="73">
        <f>IF([1]DADOS!I468="MONOFÁSICO","X","")</f>
      </c>
      <c r="K487" s="73">
        <f>IF([1]DADOS!I468="BIFÁSICO","X","")</f>
      </c>
      <c r="L487" s="73">
        <f>IF([1]DADOS!I468="TRIFÁSICO","X","")</f>
      </c>
      <c r="M487" s="73">
        <f>IF([1]DADOS!H468="5M","X","")</f>
      </c>
      <c r="N487" s="73">
        <f>IF([1]DADOS!H468="7M","X","")</f>
      </c>
      <c r="O487" s="73">
        <f>IF([1]DADOS!H468="PP","X","")</f>
      </c>
      <c r="P487" s="73"/>
      <c r="Q487" s="73"/>
      <c r="R487" s="73"/>
      <c r="S487" s="79"/>
      <c r="T487" s="80"/>
      <c r="U487" s="78">
        <f>IF([1]DADOS!F468="","",[1]DADOS!F468)</f>
      </c>
      <c r="V487" s="81">
        <f>IF(C487="","",[1]DADOS!$D$8)</f>
      </c>
    </row>
    <row r="488" ht="21" customHeight="1" spans="2:22" x14ac:dyDescent="0.25">
      <c r="B488" s="73">
        <v>459</v>
      </c>
      <c r="C488" s="74">
        <f>IF([1]DADOS!D469="","",[1]DADOS!D469)</f>
      </c>
      <c r="D488" s="75"/>
      <c r="E488" s="76"/>
      <c r="F488" s="76"/>
      <c r="G488" s="77"/>
      <c r="H488" s="74"/>
      <c r="I488" s="78">
        <f>IF([1]DADOS!G469="","",[1]DADOS!G469)</f>
      </c>
      <c r="J488" s="73">
        <f>IF([1]DADOS!I469="MONOFÁSICO","X","")</f>
      </c>
      <c r="K488" s="73">
        <f>IF([1]DADOS!I469="BIFÁSICO","X","")</f>
      </c>
      <c r="L488" s="73">
        <f>IF([1]DADOS!I469="TRIFÁSICO","X","")</f>
      </c>
      <c r="M488" s="73">
        <f>IF([1]DADOS!H469="5M","X","")</f>
      </c>
      <c r="N488" s="73">
        <f>IF([1]DADOS!H469="7M","X","")</f>
      </c>
      <c r="O488" s="73">
        <f>IF([1]DADOS!H469="PP","X","")</f>
      </c>
      <c r="P488" s="73"/>
      <c r="Q488" s="73"/>
      <c r="R488" s="73"/>
      <c r="S488" s="79"/>
      <c r="T488" s="80"/>
      <c r="U488" s="78">
        <f>IF([1]DADOS!F469="","",[1]DADOS!F469)</f>
      </c>
      <c r="V488" s="81">
        <f>IF(C488="","",[1]DADOS!$D$8)</f>
      </c>
    </row>
    <row r="489" ht="21" customHeight="1" spans="2:22" x14ac:dyDescent="0.25">
      <c r="B489" s="73">
        <v>460</v>
      </c>
      <c r="C489" s="74">
        <f>IF([1]DADOS!D470="","",[1]DADOS!D470)</f>
      </c>
      <c r="D489" s="75"/>
      <c r="E489" s="76"/>
      <c r="F489" s="76"/>
      <c r="G489" s="77"/>
      <c r="H489" s="74"/>
      <c r="I489" s="78">
        <f>IF([1]DADOS!G470="","",[1]DADOS!G470)</f>
      </c>
      <c r="J489" s="73">
        <f>IF([1]DADOS!I470="MONOFÁSICO","X","")</f>
      </c>
      <c r="K489" s="73">
        <f>IF([1]DADOS!I470="BIFÁSICO","X","")</f>
      </c>
      <c r="L489" s="73">
        <f>IF([1]DADOS!I470="TRIFÁSICO","X","")</f>
      </c>
      <c r="M489" s="73">
        <f>IF([1]DADOS!H470="5M","X","")</f>
      </c>
      <c r="N489" s="73">
        <f>IF([1]DADOS!H470="7M","X","")</f>
      </c>
      <c r="O489" s="73">
        <f>IF([1]DADOS!H470="PP","X","")</f>
      </c>
      <c r="P489" s="73"/>
      <c r="Q489" s="73"/>
      <c r="R489" s="73"/>
      <c r="S489" s="79"/>
      <c r="T489" s="80"/>
      <c r="U489" s="78">
        <f>IF([1]DADOS!F470="","",[1]DADOS!F470)</f>
      </c>
      <c r="V489" s="81">
        <f>IF(C489="","",[1]DADOS!$D$8)</f>
      </c>
    </row>
    <row r="490" ht="21" customHeight="1" spans="2:22" x14ac:dyDescent="0.25">
      <c r="B490" s="73">
        <v>461</v>
      </c>
      <c r="C490" s="74">
        <f>IF([1]DADOS!D471="","",[1]DADOS!D471)</f>
      </c>
      <c r="D490" s="75"/>
      <c r="E490" s="76"/>
      <c r="F490" s="76"/>
      <c r="G490" s="77"/>
      <c r="H490" s="74"/>
      <c r="I490" s="78">
        <f>IF([1]DADOS!G471="","",[1]DADOS!G471)</f>
      </c>
      <c r="J490" s="73">
        <f>IF([1]DADOS!I471="MONOFÁSICO","X","")</f>
      </c>
      <c r="K490" s="73">
        <f>IF([1]DADOS!I471="BIFÁSICO","X","")</f>
      </c>
      <c r="L490" s="73">
        <f>IF([1]DADOS!I471="TRIFÁSICO","X","")</f>
      </c>
      <c r="M490" s="73">
        <f>IF([1]DADOS!H471="5M","X","")</f>
      </c>
      <c r="N490" s="73">
        <f>IF([1]DADOS!H471="7M","X","")</f>
      </c>
      <c r="O490" s="73">
        <f>IF([1]DADOS!H471="PP","X","")</f>
      </c>
      <c r="P490" s="73"/>
      <c r="Q490" s="73"/>
      <c r="R490" s="73"/>
      <c r="S490" s="79"/>
      <c r="T490" s="80"/>
      <c r="U490" s="78">
        <f>IF([1]DADOS!F471="","",[1]DADOS!F471)</f>
      </c>
      <c r="V490" s="81">
        <f>IF(C490="","",[1]DADOS!$D$8)</f>
      </c>
    </row>
    <row r="491" ht="21" customHeight="1" spans="2:22" x14ac:dyDescent="0.25">
      <c r="B491" s="73">
        <v>462</v>
      </c>
      <c r="C491" s="74">
        <f>IF([1]DADOS!D472="","",[1]DADOS!D472)</f>
      </c>
      <c r="D491" s="75"/>
      <c r="E491" s="76"/>
      <c r="F491" s="76"/>
      <c r="G491" s="77"/>
      <c r="H491" s="74"/>
      <c r="I491" s="78">
        <f>IF([1]DADOS!G472="","",[1]DADOS!G472)</f>
      </c>
      <c r="J491" s="73">
        <f>IF([1]DADOS!I472="MONOFÁSICO","X","")</f>
      </c>
      <c r="K491" s="73">
        <f>IF([1]DADOS!I472="BIFÁSICO","X","")</f>
      </c>
      <c r="L491" s="73">
        <f>IF([1]DADOS!I472="TRIFÁSICO","X","")</f>
      </c>
      <c r="M491" s="73">
        <f>IF([1]DADOS!H472="5M","X","")</f>
      </c>
      <c r="N491" s="73">
        <f>IF([1]DADOS!H472="7M","X","")</f>
      </c>
      <c r="O491" s="73">
        <f>IF([1]DADOS!H472="PP","X","")</f>
      </c>
      <c r="P491" s="73"/>
      <c r="Q491" s="73"/>
      <c r="R491" s="73"/>
      <c r="S491" s="79"/>
      <c r="T491" s="80"/>
      <c r="U491" s="78">
        <f>IF([1]DADOS!F472="","",[1]DADOS!F472)</f>
      </c>
      <c r="V491" s="81">
        <f>IF(C491="","",[1]DADOS!$D$8)</f>
      </c>
    </row>
    <row r="492" ht="21" customHeight="1" spans="2:22" x14ac:dyDescent="0.25">
      <c r="B492" s="73">
        <v>463</v>
      </c>
      <c r="C492" s="74">
        <f>IF([1]DADOS!D473="","",[1]DADOS!D473)</f>
      </c>
      <c r="D492" s="75"/>
      <c r="E492" s="76"/>
      <c r="F492" s="76"/>
      <c r="G492" s="77"/>
      <c r="H492" s="74"/>
      <c r="I492" s="78">
        <f>IF([1]DADOS!G473="","",[1]DADOS!G473)</f>
      </c>
      <c r="J492" s="73">
        <f>IF([1]DADOS!I473="MONOFÁSICO","X","")</f>
      </c>
      <c r="K492" s="73">
        <f>IF([1]DADOS!I473="BIFÁSICO","X","")</f>
      </c>
      <c r="L492" s="73">
        <f>IF([1]DADOS!I473="TRIFÁSICO","X","")</f>
      </c>
      <c r="M492" s="73">
        <f>IF([1]DADOS!H473="5M","X","")</f>
      </c>
      <c r="N492" s="73">
        <f>IF([1]DADOS!H473="7M","X","")</f>
      </c>
      <c r="O492" s="73">
        <f>IF([1]DADOS!H473="PP","X","")</f>
      </c>
      <c r="P492" s="73"/>
      <c r="Q492" s="73"/>
      <c r="R492" s="73"/>
      <c r="S492" s="79"/>
      <c r="T492" s="80"/>
      <c r="U492" s="78">
        <f>IF([1]DADOS!F473="","",[1]DADOS!F473)</f>
      </c>
      <c r="V492" s="81">
        <f>IF(C492="","",[1]DADOS!$D$8)</f>
      </c>
    </row>
    <row r="493" ht="21" customHeight="1" spans="2:22" x14ac:dyDescent="0.25">
      <c r="B493" s="73">
        <v>464</v>
      </c>
      <c r="C493" s="74">
        <f>IF([1]DADOS!D474="","",[1]DADOS!D474)</f>
      </c>
      <c r="D493" s="75"/>
      <c r="E493" s="76"/>
      <c r="F493" s="76"/>
      <c r="G493" s="77"/>
      <c r="H493" s="74"/>
      <c r="I493" s="78">
        <f>IF([1]DADOS!G474="","",[1]DADOS!G474)</f>
      </c>
      <c r="J493" s="73">
        <f>IF([1]DADOS!I474="MONOFÁSICO","X","")</f>
      </c>
      <c r="K493" s="73">
        <f>IF([1]DADOS!I474="BIFÁSICO","X","")</f>
      </c>
      <c r="L493" s="73">
        <f>IF([1]DADOS!I474="TRIFÁSICO","X","")</f>
      </c>
      <c r="M493" s="73">
        <f>IF([1]DADOS!H474="5M","X","")</f>
      </c>
      <c r="N493" s="73">
        <f>IF([1]DADOS!H474="7M","X","")</f>
      </c>
      <c r="O493" s="73">
        <f>IF([1]DADOS!H474="PP","X","")</f>
      </c>
      <c r="P493" s="73"/>
      <c r="Q493" s="73"/>
      <c r="R493" s="73"/>
      <c r="S493" s="79"/>
      <c r="T493" s="80"/>
      <c r="U493" s="78">
        <f>IF([1]DADOS!F474="","",[1]DADOS!F474)</f>
      </c>
      <c r="V493" s="81">
        <f>IF(C493="","",[1]DADOS!$D$8)</f>
      </c>
    </row>
    <row r="494" ht="21" customHeight="1" spans="2:22" x14ac:dyDescent="0.25">
      <c r="B494" s="73">
        <v>465</v>
      </c>
      <c r="C494" s="74">
        <f>IF([1]DADOS!D475="","",[1]DADOS!D475)</f>
      </c>
      <c r="D494" s="75"/>
      <c r="E494" s="76"/>
      <c r="F494" s="76"/>
      <c r="G494" s="77"/>
      <c r="H494" s="74"/>
      <c r="I494" s="78">
        <f>IF([1]DADOS!G475="","",[1]DADOS!G475)</f>
      </c>
      <c r="J494" s="73">
        <f>IF([1]DADOS!I475="MONOFÁSICO","X","")</f>
      </c>
      <c r="K494" s="73">
        <f>IF([1]DADOS!I475="BIFÁSICO","X","")</f>
      </c>
      <c r="L494" s="73">
        <f>IF([1]DADOS!I475="TRIFÁSICO","X","")</f>
      </c>
      <c r="M494" s="73">
        <f>IF([1]DADOS!H475="5M","X","")</f>
      </c>
      <c r="N494" s="73">
        <f>IF([1]DADOS!H475="7M","X","")</f>
      </c>
      <c r="O494" s="73">
        <f>IF([1]DADOS!H475="PP","X","")</f>
      </c>
      <c r="P494" s="73"/>
      <c r="Q494" s="73"/>
      <c r="R494" s="73"/>
      <c r="S494" s="79"/>
      <c r="T494" s="80"/>
      <c r="U494" s="78">
        <f>IF([1]DADOS!F475="","",[1]DADOS!F475)</f>
      </c>
      <c r="V494" s="81">
        <f>IF(C494="","",[1]DADOS!$D$8)</f>
      </c>
    </row>
    <row r="495" ht="21" customHeight="1" spans="2:22" x14ac:dyDescent="0.25">
      <c r="B495" s="73">
        <v>466</v>
      </c>
      <c r="C495" s="74">
        <f>IF([1]DADOS!D476="","",[1]DADOS!D476)</f>
      </c>
      <c r="D495" s="75"/>
      <c r="E495" s="76"/>
      <c r="F495" s="76"/>
      <c r="G495" s="77"/>
      <c r="H495" s="74"/>
      <c r="I495" s="78">
        <f>IF([1]DADOS!G476="","",[1]DADOS!G476)</f>
      </c>
      <c r="J495" s="73">
        <f>IF([1]DADOS!I476="MONOFÁSICO","X","")</f>
      </c>
      <c r="K495" s="73">
        <f>IF([1]DADOS!I476="BIFÁSICO","X","")</f>
      </c>
      <c r="L495" s="73">
        <f>IF([1]DADOS!I476="TRIFÁSICO","X","")</f>
      </c>
      <c r="M495" s="73">
        <f>IF([1]DADOS!H476="5M","X","")</f>
      </c>
      <c r="N495" s="73">
        <f>IF([1]DADOS!H476="7M","X","")</f>
      </c>
      <c r="O495" s="73">
        <f>IF([1]DADOS!H476="PP","X","")</f>
      </c>
      <c r="P495" s="73"/>
      <c r="Q495" s="73"/>
      <c r="R495" s="73"/>
      <c r="S495" s="79"/>
      <c r="T495" s="80"/>
      <c r="U495" s="78">
        <f>IF([1]DADOS!F476="","",[1]DADOS!F476)</f>
      </c>
      <c r="V495" s="81">
        <f>IF(C495="","",[1]DADOS!$D$8)</f>
      </c>
    </row>
    <row r="496" ht="21" customHeight="1" spans="2:22" x14ac:dyDescent="0.25">
      <c r="B496" s="73">
        <v>467</v>
      </c>
      <c r="C496" s="74">
        <f>IF([1]DADOS!D477="","",[1]DADOS!D477)</f>
      </c>
      <c r="D496" s="75"/>
      <c r="E496" s="76"/>
      <c r="F496" s="76"/>
      <c r="G496" s="77"/>
      <c r="H496" s="74"/>
      <c r="I496" s="78">
        <f>IF([1]DADOS!G477="","",[1]DADOS!G477)</f>
      </c>
      <c r="J496" s="73">
        <f>IF([1]DADOS!I477="MONOFÁSICO","X","")</f>
      </c>
      <c r="K496" s="73">
        <f>IF([1]DADOS!I477="BIFÁSICO","X","")</f>
      </c>
      <c r="L496" s="73">
        <f>IF([1]DADOS!I477="TRIFÁSICO","X","")</f>
      </c>
      <c r="M496" s="73">
        <f>IF([1]DADOS!H477="5M","X","")</f>
      </c>
      <c r="N496" s="73">
        <f>IF([1]DADOS!H477="7M","X","")</f>
      </c>
      <c r="O496" s="73">
        <f>IF([1]DADOS!H477="PP","X","")</f>
      </c>
      <c r="P496" s="73"/>
      <c r="Q496" s="73"/>
      <c r="R496" s="73"/>
      <c r="S496" s="79"/>
      <c r="T496" s="80"/>
      <c r="U496" s="78">
        <f>IF([1]DADOS!F477="","",[1]DADOS!F477)</f>
      </c>
      <c r="V496" s="81">
        <f>IF(C496="","",[1]DADOS!$D$8)</f>
      </c>
    </row>
    <row r="497" ht="21" customHeight="1" spans="2:22" x14ac:dyDescent="0.25">
      <c r="B497" s="73">
        <v>468</v>
      </c>
      <c r="C497" s="74">
        <f>IF([1]DADOS!D478="","",[1]DADOS!D478)</f>
      </c>
      <c r="D497" s="75"/>
      <c r="E497" s="76"/>
      <c r="F497" s="76"/>
      <c r="G497" s="77"/>
      <c r="H497" s="74"/>
      <c r="I497" s="78">
        <f>IF([1]DADOS!G478="","",[1]DADOS!G478)</f>
      </c>
      <c r="J497" s="73">
        <f>IF([1]DADOS!I478="MONOFÁSICO","X","")</f>
      </c>
      <c r="K497" s="73">
        <f>IF([1]DADOS!I478="BIFÁSICO","X","")</f>
      </c>
      <c r="L497" s="73">
        <f>IF([1]DADOS!I478="TRIFÁSICO","X","")</f>
      </c>
      <c r="M497" s="73">
        <f>IF([1]DADOS!H478="5M","X","")</f>
      </c>
      <c r="N497" s="73">
        <f>IF([1]DADOS!H478="7M","X","")</f>
      </c>
      <c r="O497" s="73">
        <f>IF([1]DADOS!H478="PP","X","")</f>
      </c>
      <c r="P497" s="73"/>
      <c r="Q497" s="73"/>
      <c r="R497" s="73"/>
      <c r="S497" s="79"/>
      <c r="T497" s="80"/>
      <c r="U497" s="78">
        <f>IF([1]DADOS!F478="","",[1]DADOS!F478)</f>
      </c>
      <c r="V497" s="81">
        <f>IF(C497="","",[1]DADOS!$D$8)</f>
      </c>
    </row>
    <row r="498" ht="21" customHeight="1" spans="2:22" x14ac:dyDescent="0.25">
      <c r="B498" s="73">
        <v>469</v>
      </c>
      <c r="C498" s="74">
        <f>IF([1]DADOS!D479="","",[1]DADOS!D479)</f>
      </c>
      <c r="D498" s="75"/>
      <c r="E498" s="76"/>
      <c r="F498" s="76"/>
      <c r="G498" s="77"/>
      <c r="H498" s="74"/>
      <c r="I498" s="78">
        <f>IF([1]DADOS!G479="","",[1]DADOS!G479)</f>
      </c>
      <c r="J498" s="73">
        <f>IF([1]DADOS!I479="MONOFÁSICO","X","")</f>
      </c>
      <c r="K498" s="73">
        <f>IF([1]DADOS!I479="BIFÁSICO","X","")</f>
      </c>
      <c r="L498" s="73">
        <f>IF([1]DADOS!I479="TRIFÁSICO","X","")</f>
      </c>
      <c r="M498" s="73">
        <f>IF([1]DADOS!H479="5M","X","")</f>
      </c>
      <c r="N498" s="73">
        <f>IF([1]DADOS!H479="7M","X","")</f>
      </c>
      <c r="O498" s="73">
        <f>IF([1]DADOS!H479="PP","X","")</f>
      </c>
      <c r="P498" s="73"/>
      <c r="Q498" s="73"/>
      <c r="R498" s="73"/>
      <c r="S498" s="79"/>
      <c r="T498" s="80"/>
      <c r="U498" s="78">
        <f>IF([1]DADOS!F479="","",[1]DADOS!F479)</f>
      </c>
      <c r="V498" s="81">
        <f>IF(C498="","",[1]DADOS!$D$8)</f>
      </c>
    </row>
    <row r="499" ht="21" customHeight="1" spans="2:22" x14ac:dyDescent="0.25">
      <c r="B499" s="73">
        <v>470</v>
      </c>
      <c r="C499" s="74">
        <f>IF([1]DADOS!D480="","",[1]DADOS!D480)</f>
      </c>
      <c r="D499" s="75"/>
      <c r="E499" s="76"/>
      <c r="F499" s="76"/>
      <c r="G499" s="77"/>
      <c r="H499" s="74"/>
      <c r="I499" s="78">
        <f>IF([1]DADOS!G480="","",[1]DADOS!G480)</f>
      </c>
      <c r="J499" s="73">
        <f>IF([1]DADOS!I480="MONOFÁSICO","X","")</f>
      </c>
      <c r="K499" s="73">
        <f>IF([1]DADOS!I480="BIFÁSICO","X","")</f>
      </c>
      <c r="L499" s="73">
        <f>IF([1]DADOS!I480="TRIFÁSICO","X","")</f>
      </c>
      <c r="M499" s="73">
        <f>IF([1]DADOS!H480="5M","X","")</f>
      </c>
      <c r="N499" s="73">
        <f>IF([1]DADOS!H480="7M","X","")</f>
      </c>
      <c r="O499" s="73">
        <f>IF([1]DADOS!H480="PP","X","")</f>
      </c>
      <c r="P499" s="73"/>
      <c r="Q499" s="73"/>
      <c r="R499" s="73"/>
      <c r="S499" s="79"/>
      <c r="T499" s="80"/>
      <c r="U499" s="78">
        <f>IF([1]DADOS!F480="","",[1]DADOS!F480)</f>
      </c>
      <c r="V499" s="81">
        <f>IF(C499="","",[1]DADOS!$D$8)</f>
      </c>
    </row>
    <row r="500" ht="21" customHeight="1" spans="2:22" x14ac:dyDescent="0.25">
      <c r="B500" s="73">
        <v>471</v>
      </c>
      <c r="C500" s="74">
        <f>IF([1]DADOS!D481="","",[1]DADOS!D481)</f>
      </c>
      <c r="D500" s="75"/>
      <c r="E500" s="76"/>
      <c r="F500" s="76"/>
      <c r="G500" s="77"/>
      <c r="H500" s="74"/>
      <c r="I500" s="78">
        <f>IF([1]DADOS!G481="","",[1]DADOS!G481)</f>
      </c>
      <c r="J500" s="73">
        <f>IF([1]DADOS!I481="MONOFÁSICO","X","")</f>
      </c>
      <c r="K500" s="73">
        <f>IF([1]DADOS!I481="BIFÁSICO","X","")</f>
      </c>
      <c r="L500" s="73">
        <f>IF([1]DADOS!I481="TRIFÁSICO","X","")</f>
      </c>
      <c r="M500" s="73">
        <f>IF([1]DADOS!H481="5M","X","")</f>
      </c>
      <c r="N500" s="73">
        <f>IF([1]DADOS!H481="7M","X","")</f>
      </c>
      <c r="O500" s="73">
        <f>IF([1]DADOS!H481="PP","X","")</f>
      </c>
      <c r="P500" s="73"/>
      <c r="Q500" s="73"/>
      <c r="R500" s="73"/>
      <c r="S500" s="79"/>
      <c r="T500" s="80"/>
      <c r="U500" s="78">
        <f>IF([1]DADOS!F481="","",[1]DADOS!F481)</f>
      </c>
      <c r="V500" s="81">
        <f>IF(C500="","",[1]DADOS!$D$8)</f>
      </c>
    </row>
    <row r="501" ht="21" customHeight="1" spans="2:22" x14ac:dyDescent="0.25">
      <c r="B501" s="73">
        <v>472</v>
      </c>
      <c r="C501" s="74">
        <f>IF([1]DADOS!D482="","",[1]DADOS!D482)</f>
      </c>
      <c r="D501" s="75"/>
      <c r="E501" s="76"/>
      <c r="F501" s="76"/>
      <c r="G501" s="77"/>
      <c r="H501" s="74"/>
      <c r="I501" s="78">
        <f>IF([1]DADOS!G482="","",[1]DADOS!G482)</f>
      </c>
      <c r="J501" s="73">
        <f>IF([1]DADOS!I482="MONOFÁSICO","X","")</f>
      </c>
      <c r="K501" s="73">
        <f>IF([1]DADOS!I482="BIFÁSICO","X","")</f>
      </c>
      <c r="L501" s="73">
        <f>IF([1]DADOS!I482="TRIFÁSICO","X","")</f>
      </c>
      <c r="M501" s="73">
        <f>IF([1]DADOS!H482="5M","X","")</f>
      </c>
      <c r="N501" s="73">
        <f>IF([1]DADOS!H482="7M","X","")</f>
      </c>
      <c r="O501" s="73">
        <f>IF([1]DADOS!H482="PP","X","")</f>
      </c>
      <c r="P501" s="73"/>
      <c r="Q501" s="73"/>
      <c r="R501" s="73"/>
      <c r="S501" s="79"/>
      <c r="T501" s="80"/>
      <c r="U501" s="78">
        <f>IF([1]DADOS!F482="","",[1]DADOS!F482)</f>
      </c>
      <c r="V501" s="81">
        <f>IF(C501="","",[1]DADOS!$D$8)</f>
      </c>
    </row>
    <row r="502" ht="21" customHeight="1" spans="2:22" x14ac:dyDescent="0.25">
      <c r="B502" s="73">
        <v>473</v>
      </c>
      <c r="C502" s="74">
        <f>IF([1]DADOS!D483="","",[1]DADOS!D483)</f>
      </c>
      <c r="D502" s="75"/>
      <c r="E502" s="76"/>
      <c r="F502" s="76"/>
      <c r="G502" s="77"/>
      <c r="H502" s="74"/>
      <c r="I502" s="78">
        <f>IF([1]DADOS!G483="","",[1]DADOS!G483)</f>
      </c>
      <c r="J502" s="73">
        <f>IF([1]DADOS!I483="MONOFÁSICO","X","")</f>
      </c>
      <c r="K502" s="73">
        <f>IF([1]DADOS!I483="BIFÁSICO","X","")</f>
      </c>
      <c r="L502" s="73">
        <f>IF([1]DADOS!I483="TRIFÁSICO","X","")</f>
      </c>
      <c r="M502" s="73">
        <f>IF([1]DADOS!H483="5M","X","")</f>
      </c>
      <c r="N502" s="73">
        <f>IF([1]DADOS!H483="7M","X","")</f>
      </c>
      <c r="O502" s="73">
        <f>IF([1]DADOS!H483="PP","X","")</f>
      </c>
      <c r="P502" s="73"/>
      <c r="Q502" s="73"/>
      <c r="R502" s="73"/>
      <c r="S502" s="79"/>
      <c r="T502" s="80"/>
      <c r="U502" s="78">
        <f>IF([1]DADOS!F483="","",[1]DADOS!F483)</f>
      </c>
      <c r="V502" s="81">
        <f>IF(C502="","",[1]DADOS!$D$8)</f>
      </c>
    </row>
    <row r="503" ht="21" customHeight="1" spans="2:22" x14ac:dyDescent="0.25">
      <c r="B503" s="73">
        <v>474</v>
      </c>
      <c r="C503" s="74">
        <f>IF([1]DADOS!D484="","",[1]DADOS!D484)</f>
      </c>
      <c r="D503" s="75"/>
      <c r="E503" s="76"/>
      <c r="F503" s="76"/>
      <c r="G503" s="77"/>
      <c r="H503" s="74"/>
      <c r="I503" s="78">
        <f>IF([1]DADOS!G484="","",[1]DADOS!G484)</f>
      </c>
      <c r="J503" s="73">
        <f>IF([1]DADOS!I484="MONOFÁSICO","X","")</f>
      </c>
      <c r="K503" s="73">
        <f>IF([1]DADOS!I484="BIFÁSICO","X","")</f>
      </c>
      <c r="L503" s="73">
        <f>IF([1]DADOS!I484="TRIFÁSICO","X","")</f>
      </c>
      <c r="M503" s="73">
        <f>IF([1]DADOS!H484="5M","X","")</f>
      </c>
      <c r="N503" s="73">
        <f>IF([1]DADOS!H484="7M","X","")</f>
      </c>
      <c r="O503" s="73">
        <f>IF([1]DADOS!H484="PP","X","")</f>
      </c>
      <c r="P503" s="73"/>
      <c r="Q503" s="73"/>
      <c r="R503" s="73"/>
      <c r="S503" s="79"/>
      <c r="T503" s="80"/>
      <c r="U503" s="78">
        <f>IF([1]DADOS!F484="","",[1]DADOS!F484)</f>
      </c>
      <c r="V503" s="81">
        <f>IF(C503="","",[1]DADOS!$D$8)</f>
      </c>
    </row>
    <row r="504" ht="21" customHeight="1" spans="2:22" x14ac:dyDescent="0.25">
      <c r="B504" s="73">
        <v>475</v>
      </c>
      <c r="C504" s="74">
        <f>IF([1]DADOS!D485="","",[1]DADOS!D485)</f>
      </c>
      <c r="D504" s="75"/>
      <c r="E504" s="76"/>
      <c r="F504" s="76"/>
      <c r="G504" s="77"/>
      <c r="H504" s="74"/>
      <c r="I504" s="78">
        <f>IF([1]DADOS!G485="","",[1]DADOS!G485)</f>
      </c>
      <c r="J504" s="73">
        <f>IF([1]DADOS!I485="MONOFÁSICO","X","")</f>
      </c>
      <c r="K504" s="73">
        <f>IF([1]DADOS!I485="BIFÁSICO","X","")</f>
      </c>
      <c r="L504" s="73">
        <f>IF([1]DADOS!I485="TRIFÁSICO","X","")</f>
      </c>
      <c r="M504" s="73">
        <f>IF([1]DADOS!H485="5M","X","")</f>
      </c>
      <c r="N504" s="73">
        <f>IF([1]DADOS!H485="7M","X","")</f>
      </c>
      <c r="O504" s="73">
        <f>IF([1]DADOS!H485="PP","X","")</f>
      </c>
      <c r="P504" s="73"/>
      <c r="Q504" s="73"/>
      <c r="R504" s="73"/>
      <c r="S504" s="79"/>
      <c r="T504" s="80"/>
      <c r="U504" s="78">
        <f>IF([1]DADOS!F485="","",[1]DADOS!F485)</f>
      </c>
      <c r="V504" s="81">
        <f>IF(C504="","",[1]DADOS!$D$8)</f>
      </c>
    </row>
    <row r="505" ht="21" customHeight="1" spans="2:22" x14ac:dyDescent="0.25">
      <c r="B505" s="73">
        <v>476</v>
      </c>
      <c r="C505" s="74">
        <f>IF([1]DADOS!D486="","",[1]DADOS!D486)</f>
      </c>
      <c r="D505" s="75"/>
      <c r="E505" s="76"/>
      <c r="F505" s="76"/>
      <c r="G505" s="77"/>
      <c r="H505" s="74"/>
      <c r="I505" s="78">
        <f>IF([1]DADOS!G486="","",[1]DADOS!G486)</f>
      </c>
      <c r="J505" s="73">
        <f>IF([1]DADOS!I486="MONOFÁSICO","X","")</f>
      </c>
      <c r="K505" s="73">
        <f>IF([1]DADOS!I486="BIFÁSICO","X","")</f>
      </c>
      <c r="L505" s="73">
        <f>IF([1]DADOS!I486="TRIFÁSICO","X","")</f>
      </c>
      <c r="M505" s="73">
        <f>IF([1]DADOS!H486="5M","X","")</f>
      </c>
      <c r="N505" s="73">
        <f>IF([1]DADOS!H486="7M","X","")</f>
      </c>
      <c r="O505" s="73">
        <f>IF([1]DADOS!H486="PP","X","")</f>
      </c>
      <c r="P505" s="73"/>
      <c r="Q505" s="73"/>
      <c r="R505" s="73"/>
      <c r="S505" s="79"/>
      <c r="T505" s="80"/>
      <c r="U505" s="78">
        <f>IF([1]DADOS!F486="","",[1]DADOS!F486)</f>
      </c>
      <c r="V505" s="81">
        <f>IF(C505="","",[1]DADOS!$D$8)</f>
      </c>
    </row>
    <row r="506" ht="21" customHeight="1" spans="2:22" x14ac:dyDescent="0.25">
      <c r="B506" s="73">
        <v>477</v>
      </c>
      <c r="C506" s="74">
        <f>IF([1]DADOS!D487="","",[1]DADOS!D487)</f>
      </c>
      <c r="D506" s="75"/>
      <c r="E506" s="76"/>
      <c r="F506" s="76"/>
      <c r="G506" s="77"/>
      <c r="H506" s="74"/>
      <c r="I506" s="78">
        <f>IF([1]DADOS!G487="","",[1]DADOS!G487)</f>
      </c>
      <c r="J506" s="73">
        <f>IF([1]DADOS!I487="MONOFÁSICO","X","")</f>
      </c>
      <c r="K506" s="73">
        <f>IF([1]DADOS!I487="BIFÁSICO","X","")</f>
      </c>
      <c r="L506" s="73">
        <f>IF([1]DADOS!I487="TRIFÁSICO","X","")</f>
      </c>
      <c r="M506" s="73">
        <f>IF([1]DADOS!H487="5M","X","")</f>
      </c>
      <c r="N506" s="73">
        <f>IF([1]DADOS!H487="7M","X","")</f>
      </c>
      <c r="O506" s="73">
        <f>IF([1]DADOS!H487="PP","X","")</f>
      </c>
      <c r="P506" s="73"/>
      <c r="Q506" s="73"/>
      <c r="R506" s="73"/>
      <c r="S506" s="79"/>
      <c r="T506" s="80"/>
      <c r="U506" s="78">
        <f>IF([1]DADOS!F487="","",[1]DADOS!F487)</f>
      </c>
      <c r="V506" s="81">
        <f>IF(C506="","",[1]DADOS!$D$8)</f>
      </c>
    </row>
    <row r="507" ht="21" customHeight="1" spans="2:22" x14ac:dyDescent="0.25">
      <c r="B507" s="73">
        <v>478</v>
      </c>
      <c r="C507" s="74">
        <f>IF([1]DADOS!D488="","",[1]DADOS!D488)</f>
      </c>
      <c r="D507" s="75"/>
      <c r="E507" s="76"/>
      <c r="F507" s="76"/>
      <c r="G507" s="77"/>
      <c r="H507" s="74"/>
      <c r="I507" s="78">
        <f>IF([1]DADOS!G488="","",[1]DADOS!G488)</f>
      </c>
      <c r="J507" s="73">
        <f>IF([1]DADOS!I488="MONOFÁSICO","X","")</f>
      </c>
      <c r="K507" s="73">
        <f>IF([1]DADOS!I488="BIFÁSICO","X","")</f>
      </c>
      <c r="L507" s="73">
        <f>IF([1]DADOS!I488="TRIFÁSICO","X","")</f>
      </c>
      <c r="M507" s="73">
        <f>IF([1]DADOS!H488="5M","X","")</f>
      </c>
      <c r="N507" s="73">
        <f>IF([1]DADOS!H488="7M","X","")</f>
      </c>
      <c r="O507" s="73">
        <f>IF([1]DADOS!H488="PP","X","")</f>
      </c>
      <c r="P507" s="73"/>
      <c r="Q507" s="73"/>
      <c r="R507" s="73"/>
      <c r="S507" s="79"/>
      <c r="T507" s="80"/>
      <c r="U507" s="78">
        <f>IF([1]DADOS!F488="","",[1]DADOS!F488)</f>
      </c>
      <c r="V507" s="81">
        <f>IF(C507="","",[1]DADOS!$D$8)</f>
      </c>
    </row>
    <row r="508" ht="21" customHeight="1" spans="2:22" x14ac:dyDescent="0.25">
      <c r="B508" s="73">
        <v>479</v>
      </c>
      <c r="C508" s="74">
        <f>IF([1]DADOS!D489="","",[1]DADOS!D489)</f>
      </c>
      <c r="D508" s="75"/>
      <c r="E508" s="76"/>
      <c r="F508" s="76"/>
      <c r="G508" s="77"/>
      <c r="H508" s="74"/>
      <c r="I508" s="78">
        <f>IF([1]DADOS!G489="","",[1]DADOS!G489)</f>
      </c>
      <c r="J508" s="73">
        <f>IF([1]DADOS!I489="MONOFÁSICO","X","")</f>
      </c>
      <c r="K508" s="73">
        <f>IF([1]DADOS!I489="BIFÁSICO","X","")</f>
      </c>
      <c r="L508" s="73">
        <f>IF([1]DADOS!I489="TRIFÁSICO","X","")</f>
      </c>
      <c r="M508" s="73">
        <f>IF([1]DADOS!H489="5M","X","")</f>
      </c>
      <c r="N508" s="73">
        <f>IF([1]DADOS!H489="7M","X","")</f>
      </c>
      <c r="O508" s="73">
        <f>IF([1]DADOS!H489="PP","X","")</f>
      </c>
      <c r="P508" s="73"/>
      <c r="Q508" s="73"/>
      <c r="R508" s="73"/>
      <c r="S508" s="79"/>
      <c r="T508" s="80"/>
      <c r="U508" s="78">
        <f>IF([1]DADOS!F489="","",[1]DADOS!F489)</f>
      </c>
      <c r="V508" s="81">
        <f>IF(C508="","",[1]DADOS!$D$8)</f>
      </c>
    </row>
    <row r="509" ht="21" customHeight="1" spans="2:22" x14ac:dyDescent="0.25">
      <c r="B509" s="73">
        <v>480</v>
      </c>
      <c r="C509" s="74">
        <f>IF([1]DADOS!D490="","",[1]DADOS!D490)</f>
      </c>
      <c r="D509" s="75"/>
      <c r="E509" s="76"/>
      <c r="F509" s="76"/>
      <c r="G509" s="77"/>
      <c r="H509" s="74"/>
      <c r="I509" s="78">
        <f>IF([1]DADOS!G490="","",[1]DADOS!G490)</f>
      </c>
      <c r="J509" s="73">
        <f>IF([1]DADOS!I490="MONOFÁSICO","X","")</f>
      </c>
      <c r="K509" s="73">
        <f>IF([1]DADOS!I490="BIFÁSICO","X","")</f>
      </c>
      <c r="L509" s="73">
        <f>IF([1]DADOS!I490="TRIFÁSICO","X","")</f>
      </c>
      <c r="M509" s="73">
        <f>IF([1]DADOS!H490="5M","X","")</f>
      </c>
      <c r="N509" s="73">
        <f>IF([1]DADOS!H490="7M","X","")</f>
      </c>
      <c r="O509" s="73">
        <f>IF([1]DADOS!H490="PP","X","")</f>
      </c>
      <c r="P509" s="73"/>
      <c r="Q509" s="73"/>
      <c r="R509" s="73"/>
      <c r="S509" s="79"/>
      <c r="T509" s="80"/>
      <c r="U509" s="78">
        <f>IF([1]DADOS!F490="","",[1]DADOS!F490)</f>
      </c>
      <c r="V509" s="81">
        <f>IF(C509="","",[1]DADOS!$D$8)</f>
      </c>
    </row>
    <row r="510" ht="21" customHeight="1" spans="2:22" x14ac:dyDescent="0.25">
      <c r="B510" s="73">
        <v>481</v>
      </c>
      <c r="C510" s="74">
        <f>IF([1]DADOS!D491="","",[1]DADOS!D491)</f>
      </c>
      <c r="D510" s="75"/>
      <c r="E510" s="76"/>
      <c r="F510" s="76"/>
      <c r="G510" s="77"/>
      <c r="H510" s="74"/>
      <c r="I510" s="78">
        <f>IF([1]DADOS!G491="","",[1]DADOS!G491)</f>
      </c>
      <c r="J510" s="73">
        <f>IF([1]DADOS!I491="MONOFÁSICO","X","")</f>
      </c>
      <c r="K510" s="73">
        <f>IF([1]DADOS!I491="BIFÁSICO","X","")</f>
      </c>
      <c r="L510" s="73">
        <f>IF([1]DADOS!I491="TRIFÁSICO","X","")</f>
      </c>
      <c r="M510" s="73">
        <f>IF([1]DADOS!H491="5M","X","")</f>
      </c>
      <c r="N510" s="73">
        <f>IF([1]DADOS!H491="7M","X","")</f>
      </c>
      <c r="O510" s="73">
        <f>IF([1]DADOS!H491="PP","X","")</f>
      </c>
      <c r="P510" s="73"/>
      <c r="Q510" s="73"/>
      <c r="R510" s="73"/>
      <c r="S510" s="79"/>
      <c r="T510" s="80"/>
      <c r="U510" s="78">
        <f>IF([1]DADOS!F491="","",[1]DADOS!F491)</f>
      </c>
      <c r="V510" s="81">
        <f>IF(C510="","",[1]DADOS!$D$8)</f>
      </c>
    </row>
    <row r="511" ht="21" customHeight="1" spans="2:22" x14ac:dyDescent="0.25">
      <c r="B511" s="73">
        <v>482</v>
      </c>
      <c r="C511" s="74">
        <f>IF([1]DADOS!D492="","",[1]DADOS!D492)</f>
      </c>
      <c r="D511" s="75"/>
      <c r="E511" s="76"/>
      <c r="F511" s="76"/>
      <c r="G511" s="77"/>
      <c r="H511" s="74"/>
      <c r="I511" s="78">
        <f>IF([1]DADOS!G492="","",[1]DADOS!G492)</f>
      </c>
      <c r="J511" s="73">
        <f>IF([1]DADOS!I492="MONOFÁSICO","X","")</f>
      </c>
      <c r="K511" s="73">
        <f>IF([1]DADOS!I492="BIFÁSICO","X","")</f>
      </c>
      <c r="L511" s="73">
        <f>IF([1]DADOS!I492="TRIFÁSICO","X","")</f>
      </c>
      <c r="M511" s="73">
        <f>IF([1]DADOS!H492="5M","X","")</f>
      </c>
      <c r="N511" s="73">
        <f>IF([1]DADOS!H492="7M","X","")</f>
      </c>
      <c r="O511" s="73">
        <f>IF([1]DADOS!H492="PP","X","")</f>
      </c>
      <c r="P511" s="73"/>
      <c r="Q511" s="73"/>
      <c r="R511" s="73"/>
      <c r="S511" s="79"/>
      <c r="T511" s="80"/>
      <c r="U511" s="78">
        <f>IF([1]DADOS!F492="","",[1]DADOS!F492)</f>
      </c>
      <c r="V511" s="81">
        <f>IF(C511="","",[1]DADOS!$D$8)</f>
      </c>
    </row>
    <row r="512" ht="21" customHeight="1" spans="2:22" x14ac:dyDescent="0.25">
      <c r="B512" s="73">
        <v>483</v>
      </c>
      <c r="C512" s="74">
        <f>IF([1]DADOS!D493="","",[1]DADOS!D493)</f>
      </c>
      <c r="D512" s="75"/>
      <c r="E512" s="76"/>
      <c r="F512" s="76"/>
      <c r="G512" s="77"/>
      <c r="H512" s="74"/>
      <c r="I512" s="78">
        <f>IF([1]DADOS!G493="","",[1]DADOS!G493)</f>
      </c>
      <c r="J512" s="73">
        <f>IF([1]DADOS!I493="MONOFÁSICO","X","")</f>
      </c>
      <c r="K512" s="73">
        <f>IF([1]DADOS!I493="BIFÁSICO","X","")</f>
      </c>
      <c r="L512" s="73">
        <f>IF([1]DADOS!I493="TRIFÁSICO","X","")</f>
      </c>
      <c r="M512" s="73">
        <f>IF([1]DADOS!H493="5M","X","")</f>
      </c>
      <c r="N512" s="73">
        <f>IF([1]DADOS!H493="7M","X","")</f>
      </c>
      <c r="O512" s="73">
        <f>IF([1]DADOS!H493="PP","X","")</f>
      </c>
      <c r="P512" s="73"/>
      <c r="Q512" s="73"/>
      <c r="R512" s="73"/>
      <c r="S512" s="79"/>
      <c r="T512" s="80"/>
      <c r="U512" s="78">
        <f>IF([1]DADOS!F493="","",[1]DADOS!F493)</f>
      </c>
      <c r="V512" s="81">
        <f>IF(C512="","",[1]DADOS!$D$8)</f>
      </c>
    </row>
    <row r="513" ht="21" customHeight="1" spans="2:22" x14ac:dyDescent="0.25">
      <c r="B513" s="73">
        <v>484</v>
      </c>
      <c r="C513" s="74">
        <f>IF([1]DADOS!D494="","",[1]DADOS!D494)</f>
      </c>
      <c r="D513" s="75"/>
      <c r="E513" s="76"/>
      <c r="F513" s="76"/>
      <c r="G513" s="77"/>
      <c r="H513" s="74"/>
      <c r="I513" s="78">
        <f>IF([1]DADOS!G494="","",[1]DADOS!G494)</f>
      </c>
      <c r="J513" s="73">
        <f>IF([1]DADOS!I494="MONOFÁSICO","X","")</f>
      </c>
      <c r="K513" s="73">
        <f>IF([1]DADOS!I494="BIFÁSICO","X","")</f>
      </c>
      <c r="L513" s="73">
        <f>IF([1]DADOS!I494="TRIFÁSICO","X","")</f>
      </c>
      <c r="M513" s="73">
        <f>IF([1]DADOS!H494="5M","X","")</f>
      </c>
      <c r="N513" s="73">
        <f>IF([1]DADOS!H494="7M","X","")</f>
      </c>
      <c r="O513" s="73">
        <f>IF([1]DADOS!H494="PP","X","")</f>
      </c>
      <c r="P513" s="73"/>
      <c r="Q513" s="73"/>
      <c r="R513" s="73"/>
      <c r="S513" s="79"/>
      <c r="T513" s="80"/>
      <c r="U513" s="78">
        <f>IF([1]DADOS!F494="","",[1]DADOS!F494)</f>
      </c>
      <c r="V513" s="81">
        <f>IF(C513="","",[1]DADOS!$D$8)</f>
      </c>
    </row>
    <row r="514" ht="21" customHeight="1" spans="2:22" x14ac:dyDescent="0.25">
      <c r="B514" s="73">
        <v>485</v>
      </c>
      <c r="C514" s="74">
        <f>IF([1]DADOS!D495="","",[1]DADOS!D495)</f>
      </c>
      <c r="D514" s="75"/>
      <c r="E514" s="76"/>
      <c r="F514" s="76"/>
      <c r="G514" s="77"/>
      <c r="H514" s="74"/>
      <c r="I514" s="78">
        <f>IF([1]DADOS!G495="","",[1]DADOS!G495)</f>
      </c>
      <c r="J514" s="73">
        <f>IF([1]DADOS!I495="MONOFÁSICO","X","")</f>
      </c>
      <c r="K514" s="73">
        <f>IF([1]DADOS!I495="BIFÁSICO","X","")</f>
      </c>
      <c r="L514" s="73">
        <f>IF([1]DADOS!I495="TRIFÁSICO","X","")</f>
      </c>
      <c r="M514" s="73">
        <f>IF([1]DADOS!H495="5M","X","")</f>
      </c>
      <c r="N514" s="73">
        <f>IF([1]DADOS!H495="7M","X","")</f>
      </c>
      <c r="O514" s="73">
        <f>IF([1]DADOS!H495="PP","X","")</f>
      </c>
      <c r="P514" s="73"/>
      <c r="Q514" s="73"/>
      <c r="R514" s="73"/>
      <c r="S514" s="79"/>
      <c r="T514" s="80"/>
      <c r="U514" s="78">
        <f>IF([1]DADOS!F495="","",[1]DADOS!F495)</f>
      </c>
      <c r="V514" s="81">
        <f>IF(C514="","",[1]DADOS!$D$8)</f>
      </c>
    </row>
    <row r="515" ht="21" customHeight="1" spans="2:22" x14ac:dyDescent="0.25">
      <c r="B515" s="73">
        <v>486</v>
      </c>
      <c r="C515" s="74">
        <f>IF([1]DADOS!D496="","",[1]DADOS!D496)</f>
      </c>
      <c r="D515" s="75"/>
      <c r="E515" s="76"/>
      <c r="F515" s="76"/>
      <c r="G515" s="77"/>
      <c r="H515" s="74"/>
      <c r="I515" s="78">
        <f>IF([1]DADOS!G496="","",[1]DADOS!G496)</f>
      </c>
      <c r="J515" s="73">
        <f>IF([1]DADOS!I496="MONOFÁSICO","X","")</f>
      </c>
      <c r="K515" s="73">
        <f>IF([1]DADOS!I496="BIFÁSICO","X","")</f>
      </c>
      <c r="L515" s="73">
        <f>IF([1]DADOS!I496="TRIFÁSICO","X","")</f>
      </c>
      <c r="M515" s="73">
        <f>IF([1]DADOS!H496="5M","X","")</f>
      </c>
      <c r="N515" s="73">
        <f>IF([1]DADOS!H496="7M","X","")</f>
      </c>
      <c r="O515" s="73">
        <f>IF([1]DADOS!H496="PP","X","")</f>
      </c>
      <c r="P515" s="73"/>
      <c r="Q515" s="73"/>
      <c r="R515" s="73"/>
      <c r="S515" s="79"/>
      <c r="T515" s="80"/>
      <c r="U515" s="78">
        <f>IF([1]DADOS!F496="","",[1]DADOS!F496)</f>
      </c>
      <c r="V515" s="81">
        <f>IF(C515="","",[1]DADOS!$D$8)</f>
      </c>
    </row>
    <row r="516" ht="21" customHeight="1" spans="2:22" x14ac:dyDescent="0.25">
      <c r="B516" s="73">
        <v>487</v>
      </c>
      <c r="C516" s="74">
        <f>IF([1]DADOS!D497="","",[1]DADOS!D497)</f>
      </c>
      <c r="D516" s="75"/>
      <c r="E516" s="76"/>
      <c r="F516" s="76"/>
      <c r="G516" s="77"/>
      <c r="H516" s="74"/>
      <c r="I516" s="78">
        <f>IF([1]DADOS!G497="","",[1]DADOS!G497)</f>
      </c>
      <c r="J516" s="73">
        <f>IF([1]DADOS!I497="MONOFÁSICO","X","")</f>
      </c>
      <c r="K516" s="73">
        <f>IF([1]DADOS!I497="BIFÁSICO","X","")</f>
      </c>
      <c r="L516" s="73">
        <f>IF([1]DADOS!I497="TRIFÁSICO","X","")</f>
      </c>
      <c r="M516" s="73">
        <f>IF([1]DADOS!H497="5M","X","")</f>
      </c>
      <c r="N516" s="73">
        <f>IF([1]DADOS!H497="7M","X","")</f>
      </c>
      <c r="O516" s="73">
        <f>IF([1]DADOS!H497="PP","X","")</f>
      </c>
      <c r="P516" s="73"/>
      <c r="Q516" s="73"/>
      <c r="R516" s="73"/>
      <c r="S516" s="79"/>
      <c r="T516" s="80"/>
      <c r="U516" s="78">
        <f>IF([1]DADOS!F497="","",[1]DADOS!F497)</f>
      </c>
      <c r="V516" s="81">
        <f>IF(C516="","",[1]DADOS!$D$8)</f>
      </c>
    </row>
    <row r="517" ht="21" customHeight="1" spans="2:22" x14ac:dyDescent="0.25">
      <c r="B517" s="73">
        <v>488</v>
      </c>
      <c r="C517" s="74">
        <f>IF([1]DADOS!D498="","",[1]DADOS!D498)</f>
      </c>
      <c r="D517" s="75"/>
      <c r="E517" s="76"/>
      <c r="F517" s="76"/>
      <c r="G517" s="77"/>
      <c r="H517" s="74"/>
      <c r="I517" s="78">
        <f>IF([1]DADOS!G498="","",[1]DADOS!G498)</f>
      </c>
      <c r="J517" s="73">
        <f>IF([1]DADOS!I498="MONOFÁSICO","X","")</f>
      </c>
      <c r="K517" s="73">
        <f>IF([1]DADOS!I498="BIFÁSICO","X","")</f>
      </c>
      <c r="L517" s="73">
        <f>IF([1]DADOS!I498="TRIFÁSICO","X","")</f>
      </c>
      <c r="M517" s="73">
        <f>IF([1]DADOS!H498="5M","X","")</f>
      </c>
      <c r="N517" s="73">
        <f>IF([1]DADOS!H498="7M","X","")</f>
      </c>
      <c r="O517" s="73">
        <f>IF([1]DADOS!H498="PP","X","")</f>
      </c>
      <c r="P517" s="73"/>
      <c r="Q517" s="73"/>
      <c r="R517" s="73"/>
      <c r="S517" s="79"/>
      <c r="T517" s="80"/>
      <c r="U517" s="78">
        <f>IF([1]DADOS!F498="","",[1]DADOS!F498)</f>
      </c>
      <c r="V517" s="81">
        <f>IF(C517="","",[1]DADOS!$D$8)</f>
      </c>
    </row>
    <row r="518" ht="21" customHeight="1" spans="2:22" x14ac:dyDescent="0.25">
      <c r="B518" s="73">
        <v>489</v>
      </c>
      <c r="C518" s="74">
        <f>IF([1]DADOS!D499="","",[1]DADOS!D499)</f>
      </c>
      <c r="D518" s="75"/>
      <c r="E518" s="76"/>
      <c r="F518" s="76"/>
      <c r="G518" s="77"/>
      <c r="H518" s="74"/>
      <c r="I518" s="78">
        <f>IF([1]DADOS!G499="","",[1]DADOS!G499)</f>
      </c>
      <c r="J518" s="73">
        <f>IF([1]DADOS!I499="MONOFÁSICO","X","")</f>
      </c>
      <c r="K518" s="73">
        <f>IF([1]DADOS!I499="BIFÁSICO","X","")</f>
      </c>
      <c r="L518" s="73">
        <f>IF([1]DADOS!I499="TRIFÁSICO","X","")</f>
      </c>
      <c r="M518" s="73">
        <f>IF([1]DADOS!H499="5M","X","")</f>
      </c>
      <c r="N518" s="73">
        <f>IF([1]DADOS!H499="7M","X","")</f>
      </c>
      <c r="O518" s="73">
        <f>IF([1]DADOS!H499="PP","X","")</f>
      </c>
      <c r="P518" s="73"/>
      <c r="Q518" s="73"/>
      <c r="R518" s="73"/>
      <c r="S518" s="79"/>
      <c r="T518" s="80"/>
      <c r="U518" s="78">
        <f>IF([1]DADOS!F499="","",[1]DADOS!F499)</f>
      </c>
      <c r="V518" s="81">
        <f>IF(C518="","",[1]DADOS!$D$8)</f>
      </c>
    </row>
    <row r="519" ht="21" customHeight="1" spans="2:22" x14ac:dyDescent="0.25">
      <c r="B519" s="73">
        <v>490</v>
      </c>
      <c r="C519" s="74">
        <f>IF([1]DADOS!D500="","",[1]DADOS!D500)</f>
      </c>
      <c r="D519" s="75"/>
      <c r="E519" s="76"/>
      <c r="F519" s="76"/>
      <c r="G519" s="77"/>
      <c r="H519" s="74"/>
      <c r="I519" s="78">
        <f>IF([1]DADOS!G500="","",[1]DADOS!G500)</f>
      </c>
      <c r="J519" s="73">
        <f>IF([1]DADOS!I500="MONOFÁSICO","X","")</f>
      </c>
      <c r="K519" s="73">
        <f>IF([1]DADOS!I500="BIFÁSICO","X","")</f>
      </c>
      <c r="L519" s="73">
        <f>IF([1]DADOS!I500="TRIFÁSICO","X","")</f>
      </c>
      <c r="M519" s="73">
        <f>IF([1]DADOS!H500="5M","X","")</f>
      </c>
      <c r="N519" s="73">
        <f>IF([1]DADOS!H500="7M","X","")</f>
      </c>
      <c r="O519" s="73">
        <f>IF([1]DADOS!H500="PP","X","")</f>
      </c>
      <c r="P519" s="73"/>
      <c r="Q519" s="73"/>
      <c r="R519" s="73"/>
      <c r="S519" s="79"/>
      <c r="T519" s="80"/>
      <c r="U519" s="78">
        <f>IF([1]DADOS!F500="","",[1]DADOS!F500)</f>
      </c>
      <c r="V519" s="81">
        <f>IF(C519="","",[1]DADOS!$D$8)</f>
      </c>
    </row>
    <row r="520" ht="21" customHeight="1" spans="2:22" x14ac:dyDescent="0.25">
      <c r="B520" s="73">
        <v>491</v>
      </c>
      <c r="C520" s="74">
        <f>IF([1]DADOS!D501="","",[1]DADOS!D501)</f>
      </c>
      <c r="D520" s="75"/>
      <c r="E520" s="76"/>
      <c r="F520" s="76"/>
      <c r="G520" s="77"/>
      <c r="H520" s="74"/>
      <c r="I520" s="78">
        <f>IF([1]DADOS!G501="","",[1]DADOS!G501)</f>
      </c>
      <c r="J520" s="73">
        <f>IF([1]DADOS!I501="MONOFÁSICO","X","")</f>
      </c>
      <c r="K520" s="73">
        <f>IF([1]DADOS!I501="BIFÁSICO","X","")</f>
      </c>
      <c r="L520" s="73">
        <f>IF([1]DADOS!I501="TRIFÁSICO","X","")</f>
      </c>
      <c r="M520" s="73">
        <f>IF([1]DADOS!H501="5M","X","")</f>
      </c>
      <c r="N520" s="73">
        <f>IF([1]DADOS!H501="7M","X","")</f>
      </c>
      <c r="O520" s="73">
        <f>IF([1]DADOS!H501="PP","X","")</f>
      </c>
      <c r="P520" s="73"/>
      <c r="Q520" s="73"/>
      <c r="R520" s="73"/>
      <c r="S520" s="79"/>
      <c r="T520" s="80"/>
      <c r="U520" s="78">
        <f>IF([1]DADOS!F501="","",[1]DADOS!F501)</f>
      </c>
      <c r="V520" s="81">
        <f>IF(C520="","",[1]DADOS!$D$8)</f>
      </c>
    </row>
    <row r="521" ht="21" customHeight="1" spans="2:22" x14ac:dyDescent="0.25">
      <c r="B521" s="73">
        <v>492</v>
      </c>
      <c r="C521" s="74">
        <f>IF([1]DADOS!D502="","",[1]DADOS!D502)</f>
      </c>
      <c r="D521" s="75"/>
      <c r="E521" s="76"/>
      <c r="F521" s="76"/>
      <c r="G521" s="77"/>
      <c r="H521" s="74"/>
      <c r="I521" s="78">
        <f>IF([1]DADOS!G502="","",[1]DADOS!G502)</f>
      </c>
      <c r="J521" s="73">
        <f>IF([1]DADOS!I502="MONOFÁSICO","X","")</f>
      </c>
      <c r="K521" s="73">
        <f>IF([1]DADOS!I502="BIFÁSICO","X","")</f>
      </c>
      <c r="L521" s="73">
        <f>IF([1]DADOS!I502="TRIFÁSICO","X","")</f>
      </c>
      <c r="M521" s="73">
        <f>IF([1]DADOS!H502="5M","X","")</f>
      </c>
      <c r="N521" s="73">
        <f>IF([1]DADOS!H502="7M","X","")</f>
      </c>
      <c r="O521" s="73">
        <f>IF([1]DADOS!H502="PP","X","")</f>
      </c>
      <c r="P521" s="73"/>
      <c r="Q521" s="73"/>
      <c r="R521" s="73"/>
      <c r="S521" s="79"/>
      <c r="T521" s="80"/>
      <c r="U521" s="78">
        <f>IF([1]DADOS!F502="","",[1]DADOS!F502)</f>
      </c>
      <c r="V521" s="81">
        <f>IF(C521="","",[1]DADOS!$D$8)</f>
      </c>
    </row>
    <row r="522" ht="21" customHeight="1" spans="2:22" x14ac:dyDescent="0.25">
      <c r="B522" s="73">
        <v>493</v>
      </c>
      <c r="C522" s="74">
        <f>IF([1]DADOS!D503="","",[1]DADOS!D503)</f>
      </c>
      <c r="D522" s="75"/>
      <c r="E522" s="76"/>
      <c r="F522" s="76"/>
      <c r="G522" s="77"/>
      <c r="H522" s="74"/>
      <c r="I522" s="78">
        <f>IF([1]DADOS!G503="","",[1]DADOS!G503)</f>
      </c>
      <c r="J522" s="73">
        <f>IF([1]DADOS!I503="MONOFÁSICO","X","")</f>
      </c>
      <c r="K522" s="73">
        <f>IF([1]DADOS!I503="BIFÁSICO","X","")</f>
      </c>
      <c r="L522" s="73">
        <f>IF([1]DADOS!I503="TRIFÁSICO","X","")</f>
      </c>
      <c r="M522" s="73">
        <f>IF([1]DADOS!H503="5M","X","")</f>
      </c>
      <c r="N522" s="73">
        <f>IF([1]DADOS!H503="7M","X","")</f>
      </c>
      <c r="O522" s="73">
        <f>IF([1]DADOS!H503="PP","X","")</f>
      </c>
      <c r="P522" s="73"/>
      <c r="Q522" s="73"/>
      <c r="R522" s="73"/>
      <c r="S522" s="79"/>
      <c r="T522" s="80"/>
      <c r="U522" s="78">
        <f>IF([1]DADOS!F503="","",[1]DADOS!F503)</f>
      </c>
      <c r="V522" s="81">
        <f>IF(C522="","",[1]DADOS!$D$8)</f>
      </c>
    </row>
    <row r="523" ht="21" customHeight="1" spans="2:22" x14ac:dyDescent="0.25">
      <c r="B523" s="73">
        <v>494</v>
      </c>
      <c r="C523" s="74">
        <f>IF([1]DADOS!D504="","",[1]DADOS!D504)</f>
      </c>
      <c r="D523" s="75"/>
      <c r="E523" s="76"/>
      <c r="F523" s="76"/>
      <c r="G523" s="77"/>
      <c r="H523" s="74"/>
      <c r="I523" s="78">
        <f>IF([1]DADOS!G504="","",[1]DADOS!G504)</f>
      </c>
      <c r="J523" s="73">
        <f>IF([1]DADOS!I504="MONOFÁSICO","X","")</f>
      </c>
      <c r="K523" s="73">
        <f>IF([1]DADOS!I504="BIFÁSICO","X","")</f>
      </c>
      <c r="L523" s="73">
        <f>IF([1]DADOS!I504="TRIFÁSICO","X","")</f>
      </c>
      <c r="M523" s="73">
        <f>IF([1]DADOS!H504="5M","X","")</f>
      </c>
      <c r="N523" s="73">
        <f>IF([1]DADOS!H504="7M","X","")</f>
      </c>
      <c r="O523" s="73">
        <f>IF([1]DADOS!H504="PP","X","")</f>
      </c>
      <c r="P523" s="73"/>
      <c r="Q523" s="73"/>
      <c r="R523" s="73"/>
      <c r="S523" s="79"/>
      <c r="T523" s="80"/>
      <c r="U523" s="78">
        <f>IF([1]DADOS!F504="","",[1]DADOS!F504)</f>
      </c>
      <c r="V523" s="81">
        <f>IF(C523="","",[1]DADOS!$D$8)</f>
      </c>
    </row>
    <row r="524" ht="21" customHeight="1" spans="2:22" x14ac:dyDescent="0.25">
      <c r="B524" s="73">
        <v>495</v>
      </c>
      <c r="C524" s="74">
        <f>IF([1]DADOS!D505="","",[1]DADOS!D505)</f>
      </c>
      <c r="D524" s="75"/>
      <c r="E524" s="76"/>
      <c r="F524" s="76"/>
      <c r="G524" s="77"/>
      <c r="H524" s="74"/>
      <c r="I524" s="78">
        <f>IF([1]DADOS!G505="","",[1]DADOS!G505)</f>
      </c>
      <c r="J524" s="73">
        <f>IF([1]DADOS!I505="MONOFÁSICO","X","")</f>
      </c>
      <c r="K524" s="73">
        <f>IF([1]DADOS!I505="BIFÁSICO","X","")</f>
      </c>
      <c r="L524" s="73">
        <f>IF([1]DADOS!I505="TRIFÁSICO","X","")</f>
      </c>
      <c r="M524" s="73">
        <f>IF([1]DADOS!H505="5M","X","")</f>
      </c>
      <c r="N524" s="73">
        <f>IF([1]DADOS!H505="7M","X","")</f>
      </c>
      <c r="O524" s="73">
        <f>IF([1]DADOS!H505="PP","X","")</f>
      </c>
      <c r="P524" s="73"/>
      <c r="Q524" s="73"/>
      <c r="R524" s="73"/>
      <c r="S524" s="79"/>
      <c r="T524" s="80"/>
      <c r="U524" s="78">
        <f>IF([1]DADOS!F505="","",[1]DADOS!F505)</f>
      </c>
      <c r="V524" s="81">
        <f>IF(C524="","",[1]DADOS!$D$8)</f>
      </c>
    </row>
  </sheetData>
  <mergeCells count="18">
    <mergeCell ref="B8:W8"/>
    <mergeCell ref="E14:V14"/>
    <mergeCell ref="E16:J16"/>
    <mergeCell ref="O16:V16"/>
    <mergeCell ref="E17:J17"/>
    <mergeCell ref="O17:V17"/>
    <mergeCell ref="E18:J18"/>
    <mergeCell ref="O18:V18"/>
    <mergeCell ref="C27:G29"/>
    <mergeCell ref="H27:I29"/>
    <mergeCell ref="J27:L28"/>
    <mergeCell ref="M27:O28"/>
    <mergeCell ref="P27:Q28"/>
    <mergeCell ref="R27:S28"/>
    <mergeCell ref="T27:U28"/>
    <mergeCell ref="B27:B29"/>
    <mergeCell ref="V27:V29"/>
    <mergeCell ref="T29:U29"/>
  </mergeCells>
  <conditionalFormatting sqref="B30:C524 H30:H524 J30:T524">
    <cfRule type="expression" dxfId="0" priority="1">
      <formula>MOD(ROW(),2)=0</formula>
    </cfRule>
  </conditionalFormatting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CONSUMIDORES#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Fontes</dc:creator>
  <cp:lastModifiedBy>Italo Fontes</cp:lastModifiedBy>
  <dcterms:created xsi:type="dcterms:W3CDTF">2026-06-02T13:51:36Z</dcterms:created>
  <dcterms:modified xsi:type="dcterms:W3CDTF">2026-06-02T13:54:23Z</dcterms:modified>
</cp:coreProperties>
</file>