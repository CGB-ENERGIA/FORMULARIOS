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27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Italo\Downloads\"/>
    </mc:Choice>
  </mc:AlternateContent>
  <xr:revisionPtr revIDLastSave="0" documentId="13_ncr:2000001_{D1F4FA7D-9B53-4B30-8466-63B0CC43845E}" xr6:coauthVersionLast="47" xr6:coauthVersionMax="47" xr10:uidLastSave="{00000000-0000-0000-0000-000000000000}"/>
  <bookViews>
    <workbookView xWindow="-108" yWindow="-108" windowWidth="23256" windowHeight="12456" tabRatio="907" xr2:uid="{00000000-000D-0000-FFFF-FFFF00000000}"/>
  </bookViews>
  <sheets>
    <sheet name="SINTESE" sheetId="8" r:id="rId1"/>
    <sheet name="Consumidores" sheetId="10" r:id="rId2"/>
    <sheet name="Contratos" sheetId="9" state="hidden" r:id="rId3"/>
  </sheets>
  <definedNames>
    <definedName name="_xlnm._FilterDatabase" localSheetId="2" hidden="1">Contratos!$B$1:$O$292</definedName>
    <definedName name="_xlnm.Print_Area" localSheetId="1">Consumidores!$A$1:$G$858</definedName>
    <definedName name="_xlnm.Print_Area" localSheetId="0">SINTESE!$B$2:$O$73</definedName>
    <definedName name="BACABAL">#REF!</definedName>
    <definedName name="DISTRITAL">#REF!</definedName>
    <definedName name="ITAPECURU">#REF!</definedName>
    <definedName name="ITAPECURU_MIRIM">#REF!</definedName>
    <definedName name="P.DUTRA">#REF!</definedName>
    <definedName name="PEDREIRAS">#REF!</definedName>
    <definedName name="PRESIDENTE_DUTRA">#REF!</definedName>
    <definedName name="SANTA_INES">#REF!</definedName>
  </definedNames>
  <calcPr calcId="191029" forceFullCalc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10" l="1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G8" i="8"/>
  <c r="C4" i="10"/>
  <c r="K9" i="8" l="1"/>
  <c r="E9" i="8"/>
  <c r="R8" i="8" l="1"/>
  <c r="A293" i="9" l="1"/>
  <c r="A294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01" i="9"/>
  <c r="A202" i="9"/>
  <c r="A203" i="9"/>
  <c r="A204" i="9"/>
  <c r="A205" i="9"/>
  <c r="A206" i="9"/>
  <c r="A207" i="9"/>
  <c r="A208" i="9"/>
  <c r="A209" i="9"/>
  <c r="A210" i="9"/>
  <c r="A211" i="9"/>
  <c r="A212" i="9"/>
  <c r="A213" i="9"/>
  <c r="A214" i="9"/>
  <c r="A215" i="9"/>
  <c r="A216" i="9"/>
  <c r="A217" i="9"/>
  <c r="A218" i="9"/>
  <c r="A219" i="9"/>
  <c r="A220" i="9"/>
  <c r="A221" i="9"/>
  <c r="A222" i="9"/>
  <c r="A223" i="9"/>
  <c r="A224" i="9"/>
  <c r="A225" i="9"/>
  <c r="A226" i="9"/>
  <c r="A227" i="9"/>
  <c r="A228" i="9"/>
  <c r="A229" i="9"/>
  <c r="A230" i="9"/>
  <c r="A231" i="9"/>
  <c r="A232" i="9"/>
  <c r="A233" i="9"/>
  <c r="A234" i="9"/>
  <c r="A235" i="9"/>
  <c r="A236" i="9"/>
  <c r="A237" i="9"/>
  <c r="A238" i="9"/>
  <c r="A239" i="9"/>
  <c r="A240" i="9"/>
  <c r="A241" i="9"/>
  <c r="A242" i="9"/>
  <c r="A243" i="9"/>
  <c r="A244" i="9"/>
  <c r="A245" i="9"/>
  <c r="A246" i="9"/>
  <c r="A247" i="9"/>
  <c r="A248" i="9"/>
  <c r="A249" i="9"/>
  <c r="A250" i="9"/>
  <c r="A251" i="9"/>
  <c r="A252" i="9"/>
  <c r="A253" i="9"/>
  <c r="A254" i="9"/>
  <c r="A255" i="9"/>
  <c r="A256" i="9"/>
  <c r="A257" i="9"/>
  <c r="A258" i="9"/>
  <c r="A259" i="9"/>
  <c r="A260" i="9"/>
  <c r="A261" i="9"/>
  <c r="A262" i="9"/>
  <c r="A263" i="9"/>
  <c r="A264" i="9"/>
  <c r="A265" i="9"/>
  <c r="A266" i="9"/>
  <c r="A267" i="9"/>
  <c r="A268" i="9"/>
  <c r="A269" i="9"/>
  <c r="A270" i="9"/>
  <c r="A271" i="9"/>
  <c r="A272" i="9"/>
  <c r="A273" i="9"/>
  <c r="A274" i="9"/>
  <c r="A275" i="9"/>
  <c r="A276" i="9"/>
  <c r="A277" i="9"/>
  <c r="A278" i="9"/>
  <c r="A279" i="9"/>
  <c r="A280" i="9"/>
  <c r="A281" i="9"/>
  <c r="A282" i="9"/>
  <c r="A283" i="9"/>
  <c r="A284" i="9"/>
  <c r="A285" i="9"/>
  <c r="A286" i="9"/>
  <c r="A287" i="9"/>
  <c r="A288" i="9"/>
  <c r="A289" i="9"/>
  <c r="A290" i="9"/>
  <c r="A291" i="9"/>
  <c r="A292" i="9"/>
  <c r="A2" i="9"/>
  <c r="F17" i="8" l="1"/>
  <c r="I17" i="8" s="1"/>
  <c r="F18" i="8"/>
  <c r="I18" i="8" s="1"/>
  <c r="K8" i="8"/>
  <c r="O10" i="8" l="1"/>
  <c r="O15" i="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Equatorial</author>
  </authors>
  <commentList>
    <comment ref="I14" authorId="0" shapeId="0" xr:uid="{00000000-0006-0000-0000-000001000000}">
      <text>
        <r>
          <rPr>
            <b/>
            <sz val="9"/>
            <color indexed="81"/>
            <rFont val="Segoe UI"/>
            <family val="2"/>
          </rPr>
          <t>Equatorial:</t>
        </r>
        <r>
          <rPr>
            <sz val="9"/>
            <color indexed="81"/>
            <rFont val="Segoe UI"/>
            <family val="2"/>
          </rPr>
          <t xml:space="preserve">
Nº DO COMPONENTE / Nº INSTALAÇÃO</t>
        </r>
      </text>
    </comment>
  </commentList>
</comments>
</file>

<file path=xl/sharedStrings.xml><?xml version="1.0" encoding="utf-8"?>
<sst xmlns="http://schemas.openxmlformats.org/spreadsheetml/2006/main" count="1873" uniqueCount="154">
  <si>
    <t>EVIDÊNCIA 1</t>
  </si>
  <si>
    <t>EVIDÊNCIA 2</t>
  </si>
  <si>
    <t>EVIDÊNCIA 3</t>
  </si>
  <si>
    <t>EVIDÊNCIA 4</t>
  </si>
  <si>
    <t>EVIDÊNCIA 5</t>
  </si>
  <si>
    <t>EVIDÊNCIA 6</t>
  </si>
  <si>
    <t>EVIDÊNCIA 7</t>
  </si>
  <si>
    <t>EVIDÊNCIA 8</t>
  </si>
  <si>
    <t>UMB</t>
  </si>
  <si>
    <t>DADOS OBRA</t>
  </si>
  <si>
    <t>PEP:</t>
  </si>
  <si>
    <t>VALOR R$</t>
  </si>
  <si>
    <t>EVIDENCIAS</t>
  </si>
  <si>
    <t>DESCRIÇÃO OBRA:</t>
  </si>
  <si>
    <t>CIDADE:</t>
  </si>
  <si>
    <t>FORNECEDOR:</t>
  </si>
  <si>
    <t>CONTRATO:</t>
  </si>
  <si>
    <t>NOTA:</t>
  </si>
  <si>
    <t>DATA:</t>
  </si>
  <si>
    <t>SIM</t>
  </si>
  <si>
    <t>NÃO</t>
  </si>
  <si>
    <t>OrgC</t>
  </si>
  <si>
    <t>Nº de docu</t>
  </si>
  <si>
    <t>Item</t>
  </si>
  <si>
    <t>Fornecedor</t>
  </si>
  <si>
    <t>Nº linha</t>
  </si>
  <si>
    <t>CódElim</t>
  </si>
  <si>
    <t>Serviço</t>
  </si>
  <si>
    <t>Texto breve</t>
  </si>
  <si>
    <t>Data doc.</t>
  </si>
  <si>
    <t>Preço bruto</t>
  </si>
  <si>
    <t>EA01</t>
  </si>
  <si>
    <t/>
  </si>
  <si>
    <t>BP01</t>
  </si>
  <si>
    <t>CP01</t>
  </si>
  <si>
    <t>EP01</t>
  </si>
  <si>
    <t>ES01</t>
  </si>
  <si>
    <t>Nome</t>
  </si>
  <si>
    <t>Nickname</t>
  </si>
  <si>
    <t>CONTROL</t>
  </si>
  <si>
    <t>DINAMO</t>
  </si>
  <si>
    <t>ELLCA</t>
  </si>
  <si>
    <t>ENDICON</t>
  </si>
  <si>
    <t>INOVEE</t>
  </si>
  <si>
    <t>MANSERV</t>
  </si>
  <si>
    <t>ULTRA</t>
  </si>
  <si>
    <t>CONTROL CONSTRUCOES S.A</t>
  </si>
  <si>
    <t>D P L CONSTRUCOES LTDA</t>
  </si>
  <si>
    <t>DINAMO ENGENHARIA LTDA</t>
  </si>
  <si>
    <t>DPL CONSTRUÇÕES LTDA</t>
  </si>
  <si>
    <t>ENDICON ENGENHARIA DE INSTALACOES</t>
  </si>
  <si>
    <t>CMS - CONSTRUTORA, MANUTENCAO</t>
  </si>
  <si>
    <t>W. A. GOMES CONSTRUTORA LTDA</t>
  </si>
  <si>
    <t>ULTRA ENGENHARIA E CONSTRUCOES LTDA</t>
  </si>
  <si>
    <t>CGB ENERGIA LTDA</t>
  </si>
  <si>
    <t>INOVEE ENERGIA E SOLUCOES LTDA</t>
  </si>
  <si>
    <t>ELLCA 2 SERVICOS &amp; LOCACOES LTDA</t>
  </si>
  <si>
    <t>MANSERV MONTAGEM E MANUTENCAO S/A</t>
  </si>
  <si>
    <t>PARTNERSHIP ENGENHARIA E CONSULTORI</t>
  </si>
  <si>
    <t>PARTNERSHIP</t>
  </si>
  <si>
    <t>NAME MDO</t>
  </si>
  <si>
    <t>EM01</t>
  </si>
  <si>
    <t>ELINSA - ELETROTÉCNICA INDUSTRIAL E</t>
  </si>
  <si>
    <t>ELINSA</t>
  </si>
  <si>
    <t>AVISO DE DESLIGAMENTO</t>
  </si>
  <si>
    <t>(Versão Planilha V1)</t>
  </si>
  <si>
    <t>DADOS DA SOLICITAÇÃO DE INTERVENÇÃO</t>
  </si>
  <si>
    <t>Nº OPERACIONAL:</t>
  </si>
  <si>
    <t>Nº BARRAMENTO:</t>
  </si>
  <si>
    <t>S/ PROTOCOLO</t>
  </si>
  <si>
    <t>C/ PROTOCOLO</t>
  </si>
  <si>
    <t>NOME COMPLETO</t>
  </si>
  <si>
    <t>CONTA CONTRATO</t>
  </si>
  <si>
    <t>Nº MEDIDOR</t>
  </si>
  <si>
    <t>SOLICITAÇÃO DE INTERVENÇÃO (SI) / MÊS:</t>
  </si>
  <si>
    <t>AVISO ENTREGA CARTA DESLIG PROG S/ PROT</t>
  </si>
  <si>
    <t>un</t>
  </si>
  <si>
    <t>AVISO ENTREGA CARTA DESLIG PROG C/ PROT</t>
  </si>
  <si>
    <t>AVISO ENTREGA DE CARTA P/ DESLIG C/ PROT</t>
  </si>
  <si>
    <t>UN</t>
  </si>
  <si>
    <t>AVISO ENTREGA DE CARTA P/ DESLIG S/ PROT</t>
  </si>
  <si>
    <t>AVISO D INTERRUP  ATRAV DE CARTA</t>
  </si>
  <si>
    <t>DPL CONSTRUCOES LTDA</t>
  </si>
  <si>
    <t>WOLTS ENGENHARIA LTDA</t>
  </si>
  <si>
    <t>IM MARTINS SOLUCOES ELETRICAS LTDA</t>
  </si>
  <si>
    <t>DKCON - SERVICOS &amp; TRANSPORTES LTDA</t>
  </si>
  <si>
    <t>LC PROJETOS E CONSTRUCOES LTDA</t>
  </si>
  <si>
    <t>L &amp; L CONSTRUCOES E PROJETOS LTDA -</t>
  </si>
  <si>
    <t>R N PERES DIAS EIRELI</t>
  </si>
  <si>
    <t>AMAZONIA SOUL LTDA</t>
  </si>
  <si>
    <t>V10 ENGENHARIA LTDA.</t>
  </si>
  <si>
    <t>VIEL &amp; FREITAS LTDA</t>
  </si>
  <si>
    <t>SILVA SOUTO E BRITO LTDA ME</t>
  </si>
  <si>
    <t>O. P. DE OLIVEIRA LTDA</t>
  </si>
  <si>
    <t>J. D. W. COMERCIO DE MATERIAIS ELET</t>
  </si>
  <si>
    <t>AWX SERVICOS ELETRICOS LTDA</t>
  </si>
  <si>
    <t>ELETRO R D CONSTRUTORA LTDA</t>
  </si>
  <si>
    <t>FRANCISCO EDMAR DE QUEIROZ CONSTRUT</t>
  </si>
  <si>
    <t>REZENDE CONSTRUCAO E MANUTENCAO LTD</t>
  </si>
  <si>
    <t>CONSTRUTORA PEIXOTO UNIVERSAL LTDA</t>
  </si>
  <si>
    <t>EQUATORIAL ALAGOAS DISTRIBUIDORA DE</t>
  </si>
  <si>
    <t>ACENDER ENGENHARIA LTDA</t>
  </si>
  <si>
    <t>FK ENGENHARIA E SERVICOS LTDA</t>
  </si>
  <si>
    <t>TECCEL - TECNOLOGIA DA CONSTRUCAO C</t>
  </si>
  <si>
    <t>MIX ENGENHARIA LTDA</t>
  </si>
  <si>
    <t>EDMIL CONSTRUÇÃO LTDA</t>
  </si>
  <si>
    <t>SETEL- SERVICOS TECNICOS DE ENGENHA</t>
  </si>
  <si>
    <t>RDE - REFERENCIAL DESENVOLVIMENTO E</t>
  </si>
  <si>
    <t>PREMOLDADOS TERESINA LTDA</t>
  </si>
  <si>
    <t>J C MARTINS DA ROCHA CONSTRUCOES EI</t>
  </si>
  <si>
    <t>OPS INSTALACOES LTDA</t>
  </si>
  <si>
    <t>COPESA CONSTRUCAO E PRESTACAO DE</t>
  </si>
  <si>
    <t>ENERGY INSTALACOES ELETRICAS LTDA</t>
  </si>
  <si>
    <t>ACENDER</t>
  </si>
  <si>
    <t>AMAZONIA SOUL</t>
  </si>
  <si>
    <t>AWX SERVIÇOS</t>
  </si>
  <si>
    <t>CONSTRUTORA PEIXOTO</t>
  </si>
  <si>
    <t>COPESA</t>
  </si>
  <si>
    <t>DKCON</t>
  </si>
  <si>
    <t>EDMIL</t>
  </si>
  <si>
    <t>ELETRO</t>
  </si>
  <si>
    <t>ENERGY</t>
  </si>
  <si>
    <t>EQTL ALAGOAS</t>
  </si>
  <si>
    <t>FK ENGENHARIA</t>
  </si>
  <si>
    <t>QUEIROZ CONST</t>
  </si>
  <si>
    <t>IM MARTINS</t>
  </si>
  <si>
    <t>JC MARTINS</t>
  </si>
  <si>
    <t>J. D. W.</t>
  </si>
  <si>
    <t>L &amp; L CONSTRUÇÕES</t>
  </si>
  <si>
    <t>LC PROJETOS</t>
  </si>
  <si>
    <t>MIX ENGENHARIA</t>
  </si>
  <si>
    <t>O. P. DE OLIVEIRA</t>
  </si>
  <si>
    <t>PREMOLDADOS</t>
  </si>
  <si>
    <t>RDE - REFERENCIAL</t>
  </si>
  <si>
    <t>REZENDE CONSTRUÇÃO</t>
  </si>
  <si>
    <t>SETEL- SERVIÇOS</t>
  </si>
  <si>
    <t>SILVA SOUTO</t>
  </si>
  <si>
    <t>TECCEL - TECNOLOGIA</t>
  </si>
  <si>
    <t>V10 ENGENHARIA</t>
  </si>
  <si>
    <t>TIPO DE CLIENTE</t>
  </si>
  <si>
    <t>VIEL &amp; FREITAS</t>
  </si>
  <si>
    <t>W. A. GOMES</t>
  </si>
  <si>
    <t>WOLTS ENGENHARIA</t>
  </si>
  <si>
    <t>CGB ENERGIA</t>
  </si>
  <si>
    <t>CMS - CONSTRUTORA</t>
  </si>
  <si>
    <t>DPL CONSTRUÇÕES</t>
  </si>
  <si>
    <t>&amp;</t>
  </si>
  <si>
    <t>INICIO DESLIGAMENTO:</t>
  </si>
  <si>
    <t>FIM DESLIGAMENTO:</t>
  </si>
  <si>
    <t>OPS INSTALAÇÕES</t>
  </si>
  <si>
    <t>PROTOCOLAR</t>
  </si>
  <si>
    <t>QTD. S/ PROTOCOLO:</t>
  </si>
  <si>
    <t>QTD. C/ PROTOCOLO:</t>
  </si>
  <si>
    <t>OBRIGATÓRIO SER A TELA DA SI NO PROSIS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</si>
</sst>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43" formatCode="_-* #,##0.00_-;\-* #,##0.00_-;_-* &quot;-&quot;??_-;_-@_-"/>
  </numFmts>
  <fonts count="23" x14ac:knownFonts="1">
    <font>
      <sz val="11"/>
      <color rgb="FF000000"/>
      <name val="Calibri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11"/>
      <color theme="0"/>
      <name val="Calibri"/>
      <family val="2"/>
    </font>
    <font>
      <sz val="11"/>
      <name val="Calibri"/>
      <family val="2"/>
    </font>
    <font>
      <b/>
      <sz val="11"/>
      <color theme="0"/>
      <name val="Calibri"/>
      <family val="2"/>
    </font>
    <font>
      <sz val="11"/>
      <color theme="0" tint="-0.34998626667073579"/>
      <name val="Calibri"/>
      <family val="2"/>
    </font>
    <font>
      <i/>
      <sz val="9"/>
      <color rgb="FFFF0000"/>
      <name val="Calibr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000000"/>
      <name val="Aptos Narrow"/>
      <family val="2"/>
    </font>
    <font>
      <b/>
      <sz val="11"/>
      <name val="Calibri"/>
      <family val="2"/>
    </font>
    <font>
      <b/>
      <sz val="11"/>
      <color rgb="FFFF0000"/>
      <name val="Calibri"/>
      <family val="2"/>
    </font>
    <font>
      <sz val="11"/>
      <color theme="0"/>
      <name val="Aptos Narrow"/>
      <family val="2"/>
    </font>
    <font>
      <b/>
      <sz val="11"/>
      <color rgb="FF000000"/>
      <name val="Aptos Narrow"/>
      <family val="2"/>
    </font>
    <font>
      <sz val="8"/>
      <name val="Calibri"/>
      <family val="2"/>
    </font>
    <font>
      <sz val="11"/>
      <color rgb="FF000000"/>
      <name val="Calibri"/>
      <family val="2"/>
    </font>
    <font>
      <b/>
      <i/>
      <sz val="11"/>
      <color rgb="FFFF0000"/>
      <name val="Calibri"/>
      <family val="2"/>
    </font>
    <font>
      <b/>
      <sz val="11"/>
      <color rgb="FFFF0000"/>
      <name val="Aptos Narrow"/>
      <family val="2"/>
    </font>
    <font>
      <sz val="11"/>
      <color theme="0" tint="-0.1499984740745262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43" fontId="3" fillId="0" borderId="0" applyFont="0" applyFill="0" applyBorder="0" applyAlignment="0" applyProtection="0"/>
    <xf numFmtId="0" fontId="3" fillId="0" borderId="0"/>
    <xf numFmtId="0" fontId="1" fillId="0" borderId="0"/>
    <xf numFmtId="44" fontId="19" fillId="0" borderId="0" applyFont="0" applyFill="0" applyBorder="0" applyAlignment="0" applyProtection="0"/>
  </cellStyleXfs>
  <cellXfs count="101">
    <xf numFmtId="0" fontId="0" fillId="0" borderId="0" xfId="0"/>
    <xf numFmtId="0" fontId="0" fillId="0" borderId="0" xfId="0" applyAlignment="1">
      <alignment horizontal="center" vertical="center"/>
    </xf>
    <xf numFmtId="0" fontId="2" fillId="2" borderId="15" xfId="0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6" fillId="0" borderId="0" xfId="1" applyNumberFormat="1" applyFont="1" applyAlignment="1" applyProtection="1">
      <alignment horizontal="center" vertical="center"/>
      <protection hidden="1"/>
    </xf>
    <xf numFmtId="0" fontId="10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5" fillId="0" borderId="15" xfId="1" applyNumberFormat="1" applyFont="1" applyBorder="1" applyAlignment="1" applyProtection="1">
      <alignment horizontal="center" vertical="center"/>
      <protection locked="0"/>
    </xf>
    <xf numFmtId="0" fontId="13" fillId="0" borderId="0" xfId="0" applyFont="1" applyAlignment="1">
      <alignment horizontal="center" vertical="center"/>
    </xf>
    <xf numFmtId="0" fontId="16" fillId="3" borderId="14" xfId="0" applyFont="1" applyFill="1" applyBorder="1" applyAlignment="1">
      <alignment horizontal="center" vertical="center"/>
    </xf>
    <xf numFmtId="0" fontId="16" fillId="3" borderId="12" xfId="0" applyFont="1" applyFill="1" applyBorder="1" applyAlignment="1">
      <alignment horizontal="center" vertical="center"/>
    </xf>
    <xf numFmtId="0" fontId="16" fillId="3" borderId="11" xfId="0" applyFont="1" applyFill="1" applyBorder="1" applyAlignment="1">
      <alignment horizontal="center" vertical="center"/>
    </xf>
    <xf numFmtId="0" fontId="16" fillId="3" borderId="11" xfId="3" applyFont="1" applyFill="1" applyBorder="1" applyAlignment="1">
      <alignment horizontal="center" vertical="center"/>
    </xf>
    <xf numFmtId="0" fontId="17" fillId="2" borderId="15" xfId="0" applyFont="1" applyFill="1" applyBorder="1" applyAlignment="1">
      <alignment horizontal="center" vertical="center"/>
    </xf>
    <xf numFmtId="0" fontId="13" fillId="0" borderId="15" xfId="0" applyFont="1" applyBorder="1" applyAlignment="1" applyProtection="1">
      <alignment horizontal="center" vertical="center"/>
      <protection locked="0"/>
    </xf>
    <xf numFmtId="0" fontId="13" fillId="0" borderId="4" xfId="0" applyFont="1" applyBorder="1" applyAlignment="1" applyProtection="1">
      <alignment horizontal="center" vertical="center"/>
      <protection locked="0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6" fillId="0" borderId="0" xfId="1" applyNumberFormat="1" applyFont="1" applyBorder="1" applyAlignment="1" applyProtection="1">
      <alignment horizontal="center" vertical="center"/>
      <protection hidden="1"/>
    </xf>
    <xf numFmtId="0" fontId="0" fillId="0" borderId="5" xfId="0" applyBorder="1" applyAlignment="1">
      <alignment horizontal="center" vertical="center"/>
    </xf>
    <xf numFmtId="0" fontId="15" fillId="0" borderId="15" xfId="0" applyFont="1" applyBorder="1" applyAlignment="1" applyProtection="1">
      <alignment horizontal="center" vertical="center"/>
      <protection locked="0" hidden="1"/>
    </xf>
    <xf numFmtId="44" fontId="0" fillId="0" borderId="13" xfId="0" applyNumberFormat="1" applyBorder="1" applyAlignment="1">
      <alignment horizontal="center" vertical="center"/>
    </xf>
    <xf numFmtId="0" fontId="8" fillId="3" borderId="15" xfId="0" applyFont="1" applyFill="1" applyBorder="1" applyAlignment="1" applyProtection="1">
      <alignment horizontal="center" vertical="center"/>
      <protection hidden="1"/>
    </xf>
    <xf numFmtId="44" fontId="7" fillId="0" borderId="0" xfId="0" applyNumberFormat="1" applyFont="1" applyAlignment="1" applyProtection="1">
      <alignment vertical="center"/>
      <protection hidden="1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Alignment="1">
      <alignment vertical="center"/>
    </xf>
    <xf numFmtId="0" fontId="0" fillId="0" borderId="10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22" fillId="0" borderId="0" xfId="2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1" fontId="13" fillId="0" borderId="15" xfId="0" applyNumberFormat="1" applyFont="1" applyBorder="1" applyAlignment="1" applyProtection="1">
      <alignment horizontal="center" vertical="center"/>
      <protection locked="0"/>
    </xf>
    <xf numFmtId="0" fontId="4" fillId="2" borderId="4" xfId="0" applyFont="1" applyFill="1" applyBorder="1" applyAlignment="1">
      <alignment horizontal="center" vertical="center" textRotation="255"/>
    </xf>
    <xf numFmtId="0" fontId="4" fillId="2" borderId="8" xfId="0" applyFont="1" applyFill="1" applyBorder="1" applyAlignment="1">
      <alignment horizontal="center" vertical="center" textRotation="255"/>
    </xf>
    <xf numFmtId="0" fontId="4" fillId="2" borderId="11" xfId="0" applyFont="1" applyFill="1" applyBorder="1" applyAlignment="1">
      <alignment horizontal="center" vertical="center" textRotation="255"/>
    </xf>
    <xf numFmtId="0" fontId="20" fillId="0" borderId="9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15" fillId="0" borderId="1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20" fontId="15" fillId="0" borderId="1" xfId="1" applyNumberFormat="1" applyFont="1" applyBorder="1" applyAlignment="1" applyProtection="1">
      <alignment horizontal="center" vertical="center"/>
      <protection locked="0"/>
    </xf>
    <xf numFmtId="0" fontId="15" fillId="0" borderId="3" xfId="1" applyNumberFormat="1" applyFont="1" applyBorder="1" applyAlignment="1" applyProtection="1">
      <alignment horizontal="center" vertical="center"/>
      <protection locked="0"/>
    </xf>
    <xf numFmtId="0" fontId="15" fillId="0" borderId="2" xfId="1" applyNumberFormat="1" applyFont="1" applyBorder="1" applyAlignment="1" applyProtection="1">
      <alignment horizontal="center" vertical="center"/>
      <protection locked="0"/>
    </xf>
    <xf numFmtId="49" fontId="15" fillId="0" borderId="1" xfId="1" applyNumberFormat="1" applyFont="1" applyBorder="1" applyAlignment="1" applyProtection="1">
      <alignment horizontal="center" vertical="center"/>
      <protection locked="0"/>
    </xf>
    <xf numFmtId="49" fontId="15" fillId="0" borderId="3" xfId="1" applyNumberFormat="1" applyFont="1" applyBorder="1" applyAlignment="1" applyProtection="1">
      <alignment horizontal="center" vertical="center"/>
      <protection locked="0"/>
    </xf>
    <xf numFmtId="0" fontId="15" fillId="0" borderId="1" xfId="1" applyNumberFormat="1" applyFont="1" applyFill="1" applyBorder="1" applyAlignment="1" applyProtection="1">
      <alignment horizontal="center" vertical="center"/>
      <protection locked="0"/>
    </xf>
    <xf numFmtId="0" fontId="15" fillId="0" borderId="2" xfId="1" applyNumberFormat="1" applyFont="1" applyFill="1" applyBorder="1" applyAlignment="1" applyProtection="1">
      <alignment horizontal="center" vertical="center"/>
      <protection locked="0"/>
    </xf>
    <xf numFmtId="0" fontId="3" fillId="0" borderId="5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8" fillId="3" borderId="15" xfId="0" applyFont="1" applyFill="1" applyBorder="1" applyAlignment="1" applyProtection="1">
      <alignment horizontal="center" vertical="center"/>
      <protection hidden="1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21" xfId="0" applyFont="1" applyBorder="1" applyAlignment="1">
      <alignment horizontal="center" vertical="center"/>
    </xf>
    <xf numFmtId="0" fontId="14" fillId="4" borderId="3" xfId="0" applyFont="1" applyFill="1" applyBorder="1" applyAlignment="1" applyProtection="1">
      <alignment horizontal="center" vertical="center"/>
      <protection hidden="1"/>
    </xf>
    <xf numFmtId="0" fontId="15" fillId="0" borderId="1" xfId="0" applyFont="1" applyBorder="1" applyAlignment="1" applyProtection="1">
      <alignment horizontal="center" vertical="center"/>
      <protection locked="0"/>
    </xf>
    <xf numFmtId="0" fontId="15" fillId="0" borderId="3" xfId="0" applyFont="1" applyBorder="1" applyAlignment="1" applyProtection="1">
      <alignment horizontal="center" vertical="center"/>
      <protection locked="0"/>
    </xf>
    <xf numFmtId="44" fontId="7" fillId="4" borderId="15" xfId="4" applyFont="1" applyFill="1" applyBorder="1" applyAlignment="1" applyProtection="1">
      <alignment horizontal="center" vertical="center"/>
      <protection hidden="1"/>
    </xf>
    <xf numFmtId="44" fontId="7" fillId="4" borderId="15" xfId="0" applyNumberFormat="1" applyFont="1" applyFill="1" applyBorder="1" applyAlignment="1" applyProtection="1">
      <alignment horizontal="center" vertical="center"/>
      <protection hidden="1"/>
    </xf>
    <xf numFmtId="14" fontId="15" fillId="0" borderId="1" xfId="0" applyNumberFormat="1" applyFont="1" applyBorder="1" applyAlignment="1" applyProtection="1">
      <alignment horizontal="center" vertical="center"/>
      <protection locked="0"/>
    </xf>
    <xf numFmtId="14" fontId="15" fillId="0" borderId="3" xfId="0" applyNumberFormat="1" applyFont="1" applyBorder="1" applyAlignment="1" applyProtection="1">
      <alignment horizontal="center" vertical="center"/>
      <protection locked="0"/>
    </xf>
    <xf numFmtId="14" fontId="15" fillId="0" borderId="2" xfId="0" applyNumberFormat="1" applyFont="1" applyBorder="1" applyAlignment="1" applyProtection="1">
      <alignment horizontal="center" vertical="center"/>
      <protection locked="0"/>
    </xf>
    <xf numFmtId="0" fontId="15" fillId="0" borderId="2" xfId="0" applyFont="1" applyBorder="1" applyAlignment="1" applyProtection="1">
      <alignment horizontal="center" vertical="center"/>
      <protection locked="0"/>
    </xf>
    <xf numFmtId="0" fontId="2" fillId="2" borderId="3" xfId="0" applyFont="1" applyFill="1" applyBorder="1" applyAlignment="1">
      <alignment horizontal="left" vertical="center"/>
    </xf>
    <xf numFmtId="0" fontId="21" fillId="0" borderId="0" xfId="0" applyFont="1" applyAlignment="1">
      <alignment horizontal="center" vertical="center"/>
    </xf>
  </cellXfs>
  <cellStyles count="5">
    <cellStyle name="Moeda" xfId="4" builtinId="4"/>
    <cellStyle name="Normal" xfId="0" builtinId="0"/>
    <cellStyle name="Normal 2" xfId="2" xr:uid="{00000000-0005-0000-0000-000001000000}"/>
    <cellStyle name="Normal 3" xfId="3" xr:uid="{2620EC1F-44E1-4ED6-812F-E39BD050DCFD}"/>
    <cellStyle name="Vírgula" xfId="1" builtinId="3"/>
  </cellStyles>
  <dxfs count="10"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9"/>
  <colors>
    <mruColors>
      <color rgb="FFA0A0A0"/>
      <color rgb="FF66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99060</xdr:rowOff>
        </xdr:from>
        <xdr:to>
          <xdr:col>3</xdr:col>
          <xdr:colOff>327660</xdr:colOff>
          <xdr:row>0</xdr:row>
          <xdr:rowOff>426720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0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PDF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426720</xdr:colOff>
      <xdr:row>2</xdr:row>
      <xdr:rowOff>99060</xdr:rowOff>
    </xdr:from>
    <xdr:to>
      <xdr:col>3</xdr:col>
      <xdr:colOff>706309</xdr:colOff>
      <xdr:row>3</xdr:row>
      <xdr:rowOff>218260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3020" y="769620"/>
          <a:ext cx="1021080" cy="37066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525780</xdr:colOff>
          <xdr:row>25</xdr:row>
          <xdr:rowOff>175260</xdr:rowOff>
        </xdr:from>
        <xdr:to>
          <xdr:col>6</xdr:col>
          <xdr:colOff>68580</xdr:colOff>
          <xdr:row>27</xdr:row>
          <xdr:rowOff>45720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0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Anexar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274320</xdr:colOff>
          <xdr:row>25</xdr:row>
          <xdr:rowOff>182880</xdr:rowOff>
        </xdr:from>
        <xdr:to>
          <xdr:col>12</xdr:col>
          <xdr:colOff>411480</xdr:colOff>
          <xdr:row>27</xdr:row>
          <xdr:rowOff>60960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0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Anexar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525780</xdr:colOff>
          <xdr:row>39</xdr:row>
          <xdr:rowOff>45720</xdr:rowOff>
        </xdr:from>
        <xdr:to>
          <xdr:col>6</xdr:col>
          <xdr:colOff>68580</xdr:colOff>
          <xdr:row>40</xdr:row>
          <xdr:rowOff>114300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0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Anexar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274320</xdr:colOff>
          <xdr:row>39</xdr:row>
          <xdr:rowOff>60960</xdr:rowOff>
        </xdr:from>
        <xdr:to>
          <xdr:col>12</xdr:col>
          <xdr:colOff>411480</xdr:colOff>
          <xdr:row>40</xdr:row>
          <xdr:rowOff>121920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0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Anexar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525780</xdr:colOff>
          <xdr:row>52</xdr:row>
          <xdr:rowOff>106680</xdr:rowOff>
        </xdr:from>
        <xdr:to>
          <xdr:col>6</xdr:col>
          <xdr:colOff>68580</xdr:colOff>
          <xdr:row>53</xdr:row>
          <xdr:rowOff>175260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0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Anexar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274320</xdr:colOff>
          <xdr:row>52</xdr:row>
          <xdr:rowOff>114300</xdr:rowOff>
        </xdr:from>
        <xdr:to>
          <xdr:col>12</xdr:col>
          <xdr:colOff>411480</xdr:colOff>
          <xdr:row>53</xdr:row>
          <xdr:rowOff>182880</xdr:rowOff>
        </xdr:to>
        <xdr:sp macro="" textlink="">
          <xdr:nvSpPr>
            <xdr:cNvPr id="4148" name="Button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0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Anexar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525780</xdr:colOff>
          <xdr:row>65</xdr:row>
          <xdr:rowOff>175260</xdr:rowOff>
        </xdr:from>
        <xdr:to>
          <xdr:col>6</xdr:col>
          <xdr:colOff>68580</xdr:colOff>
          <xdr:row>67</xdr:row>
          <xdr:rowOff>45720</xdr:rowOff>
        </xdr:to>
        <xdr:sp macro="" textlink="">
          <xdr:nvSpPr>
            <xdr:cNvPr id="4149" name="Button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0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Anexar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274320</xdr:colOff>
          <xdr:row>65</xdr:row>
          <xdr:rowOff>182880</xdr:rowOff>
        </xdr:from>
        <xdr:to>
          <xdr:col>12</xdr:col>
          <xdr:colOff>411480</xdr:colOff>
          <xdr:row>67</xdr:row>
          <xdr:rowOff>60960</xdr:rowOff>
        </xdr:to>
        <xdr:sp macro="" textlink="">
          <xdr:nvSpPr>
            <xdr:cNvPr id="4150" name="Button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0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Anexar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ela2" displayName="Tabela2" ref="C3:G126" totalsRowShown="0" headerRowDxfId="9" dataDxfId="7" headerRowBorderDxfId="8" tableBorderDxfId="6" totalsRowBorderDxfId="5">
  <tableColumns count="5">
    <tableColumn id="1" xr3:uid="{00000000-0010-0000-0000-000001000000}" name="TIPO DE CLIENTE" dataDxfId="4">
      <calculatedColumnFormula>IF(OR(Tabela2[[#This Row],[PROTOCOLAR]]="",Tabela2[[#This Row],[CONTA CONTRATO]]=""),"",IF(Tabela2[[#This Row],[PROTOCOLAR]]="NAO","PESSOA FISICA","PESSOA JURIDICA"))</calculatedColumnFormula>
    </tableColumn>
    <tableColumn id="4" xr3:uid="{00000000-0010-0000-0000-000004000000}" name="CONTA CONTRATO" dataDxfId="3"/>
    <tableColumn id="2" xr3:uid="{00000000-0010-0000-0000-000002000000}" name="Nº MEDIDOR" dataDxfId="2"/>
    <tableColumn id="3" xr3:uid="{00000000-0010-0000-0000-000003000000}" name="NOME COMPLETO" dataDxfId="1"/>
    <tableColumn id="5" xr3:uid="{9529324F-331B-4AB9-B75C-E348AEAC03B6}" name="PROTOCOLAR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pageSetUpPr fitToPage="1"/>
  </sheetPr>
  <dimension ref="C1:W77"/>
  <sheetViews>
    <sheetView showGridLines="0" tabSelected="1" view="pageBreakPreview" zoomScaleNormal="100" zoomScaleSheetLayoutView="100" workbookViewId="0">
      <selection activeCell="D4" sqref="D4"/>
    </sheetView>
  </sheetViews>
  <sheetFormatPr defaultColWidth="9.109375" defaultRowHeight="14.4" x14ac:dyDescent="0.3"/>
  <cols>
    <col min="1" max="1" width="9.109375" style="1"/>
    <col min="2" max="2" width="3.6640625" style="1" customWidth="1"/>
    <col min="3" max="3" width="10.44140625" style="1" customWidth="1"/>
    <col min="4" max="4" width="13.88671875" style="1" customWidth="1"/>
    <col min="5" max="5" width="9.109375" style="1" customWidth="1"/>
    <col min="6" max="6" width="7.6640625" style="1" customWidth="1"/>
    <col min="7" max="7" width="6.88671875" style="1" customWidth="1"/>
    <col min="8" max="8" width="16.33203125" style="1" customWidth="1"/>
    <col min="9" max="9" width="10.44140625" style="1" customWidth="1"/>
    <col min="10" max="10" width="13.6640625" style="1" bestFit="1" customWidth="1"/>
    <col min="11" max="12" width="8" style="1" customWidth="1"/>
    <col min="13" max="13" width="20" style="1" bestFit="1" customWidth="1"/>
    <col min="14" max="14" width="12.5546875" style="1" customWidth="1"/>
    <col min="15" max="15" width="3.6640625" style="1" customWidth="1"/>
    <col min="16" max="16" width="3.88671875" style="1" customWidth="1"/>
    <col min="17" max="17" width="3.44140625" style="1" customWidth="1"/>
    <col min="18" max="18" width="9.109375" style="1"/>
    <col min="19" max="19" width="5.109375" style="1" bestFit="1" customWidth="1"/>
    <col min="20" max="16384" width="9.109375" style="1"/>
  </cols>
  <sheetData>
    <row r="1" spans="3:21" ht="39.75" customHeight="1" x14ac:dyDescent="0.3"/>
    <row r="2" spans="3:21" ht="13.5" customHeight="1" thickBot="1" x14ac:dyDescent="0.35">
      <c r="N2" s="5" t="s">
        <v>65</v>
      </c>
    </row>
    <row r="3" spans="3:21" ht="20.25" customHeight="1" x14ac:dyDescent="0.3">
      <c r="C3" s="27"/>
      <c r="D3" s="28"/>
      <c r="E3" s="29"/>
      <c r="F3" s="84" t="s">
        <v>64</v>
      </c>
      <c r="G3" s="85"/>
      <c r="H3" s="85"/>
      <c r="I3" s="85"/>
      <c r="J3" s="85"/>
      <c r="K3" s="85"/>
      <c r="L3" s="85"/>
      <c r="M3" s="85"/>
      <c r="N3" s="86"/>
    </row>
    <row r="4" spans="3:21" ht="20.25" customHeight="1" thickBot="1" x14ac:dyDescent="0.35">
      <c r="C4" s="30"/>
      <c r="D4" s="31"/>
      <c r="E4" s="32"/>
      <c r="F4" s="87"/>
      <c r="G4" s="88"/>
      <c r="H4" s="88"/>
      <c r="I4" s="88"/>
      <c r="J4" s="88"/>
      <c r="K4" s="88"/>
      <c r="L4" s="88"/>
      <c r="M4" s="88"/>
      <c r="N4" s="89"/>
    </row>
    <row r="5" spans="3:21" ht="5.0999999999999996" customHeight="1" x14ac:dyDescent="0.3"/>
    <row r="6" spans="3:21" ht="15.75" customHeight="1" x14ac:dyDescent="0.3">
      <c r="C6" s="80" t="s">
        <v>9</v>
      </c>
      <c r="D6" s="81"/>
      <c r="E6" s="81"/>
      <c r="F6" s="81"/>
      <c r="G6" s="81"/>
      <c r="H6" s="81"/>
      <c r="I6" s="81"/>
      <c r="J6" s="81"/>
      <c r="K6" s="81"/>
      <c r="L6" s="81"/>
      <c r="M6" s="81"/>
      <c r="N6" s="82"/>
    </row>
    <row r="7" spans="3:21" ht="5.0999999999999996" customHeight="1" x14ac:dyDescent="0.3"/>
    <row r="8" spans="3:21" x14ac:dyDescent="0.3">
      <c r="C8" s="2" t="s">
        <v>17</v>
      </c>
      <c r="D8" s="91"/>
      <c r="E8" s="92"/>
      <c r="F8" s="2" t="s">
        <v>10</v>
      </c>
      <c r="G8" s="61" t="str">
        <f>IFERROR(INDEX(Consumidores!#REF!,MATCH(SINTESE!$D$8,Consumidores!#REF!,0)),"")</f>
        <v/>
      </c>
      <c r="H8" s="62"/>
      <c r="I8" s="63"/>
      <c r="J8" s="2" t="s">
        <v>15</v>
      </c>
      <c r="K8" s="90" t="str">
        <f>IFERROR(VLOOKUP(N8,Contratos!C:N,12,0),"")</f>
        <v/>
      </c>
      <c r="L8" s="90"/>
      <c r="M8" s="2" t="s">
        <v>16</v>
      </c>
      <c r="N8" s="37"/>
      <c r="R8" s="50" t="str">
        <f>SUBSTITUTE(SUBSTITUTE(G8,".",""),"-","")</f>
        <v/>
      </c>
    </row>
    <row r="9" spans="3:21" x14ac:dyDescent="0.3">
      <c r="C9" s="59" t="s">
        <v>13</v>
      </c>
      <c r="D9" s="60"/>
      <c r="E9" s="61" t="str">
        <f>IFERROR(INDEX(Consumidores!#REF!,MATCH(SINTESE!$D$8,Consumidores!#REF!,0)),"")</f>
        <v/>
      </c>
      <c r="F9" s="62"/>
      <c r="G9" s="62"/>
      <c r="H9" s="62"/>
      <c r="I9" s="63"/>
      <c r="J9" s="2" t="s">
        <v>14</v>
      </c>
      <c r="K9" s="61" t="str">
        <f>IFERROR(INDEX(Consumidores!#REF!,MATCH(SINTESE!$D$8,Consumidores!#REF!,0)),"")</f>
        <v/>
      </c>
      <c r="L9" s="62"/>
      <c r="M9" s="62"/>
      <c r="N9" s="63"/>
      <c r="R9" s="51"/>
    </row>
    <row r="10" spans="3:21" x14ac:dyDescent="0.3">
      <c r="C10" s="59" t="s">
        <v>18</v>
      </c>
      <c r="D10" s="60"/>
      <c r="E10" s="95"/>
      <c r="F10" s="96"/>
      <c r="G10" s="97"/>
      <c r="H10" s="59" t="s">
        <v>74</v>
      </c>
      <c r="I10" s="99"/>
      <c r="J10" s="99"/>
      <c r="K10" s="60"/>
      <c r="L10" s="91"/>
      <c r="M10" s="98"/>
      <c r="O10" s="17">
        <f>WEEKDAY(E10,2)</f>
        <v>6</v>
      </c>
      <c r="S10" s="33" t="s">
        <v>19</v>
      </c>
    </row>
    <row r="11" spans="3:21" ht="5.0999999999999996" customHeight="1" x14ac:dyDescent="0.3">
      <c r="S11" s="33" t="s">
        <v>20</v>
      </c>
    </row>
    <row r="12" spans="3:21" x14ac:dyDescent="0.3">
      <c r="C12" s="80" t="s">
        <v>66</v>
      </c>
      <c r="D12" s="81"/>
      <c r="E12" s="81"/>
      <c r="F12" s="81"/>
      <c r="G12" s="81"/>
      <c r="H12" s="81"/>
      <c r="I12" s="81"/>
      <c r="J12" s="81"/>
      <c r="K12" s="81"/>
      <c r="L12" s="81"/>
      <c r="M12" s="81"/>
      <c r="N12" s="82"/>
    </row>
    <row r="13" spans="3:21" ht="5.0999999999999996" customHeight="1" x14ac:dyDescent="0.3">
      <c r="E13" s="4"/>
      <c r="M13" s="3"/>
      <c r="O13" s="34"/>
    </row>
    <row r="14" spans="3:21" x14ac:dyDescent="0.3">
      <c r="C14" s="59" t="s">
        <v>147</v>
      </c>
      <c r="D14" s="60"/>
      <c r="E14" s="64"/>
      <c r="F14" s="65"/>
      <c r="G14" s="65"/>
      <c r="H14" s="66"/>
      <c r="I14" s="59" t="s">
        <v>67</v>
      </c>
      <c r="J14" s="60"/>
      <c r="K14" s="67"/>
      <c r="L14" s="68"/>
      <c r="M14" s="2" t="s">
        <v>151</v>
      </c>
      <c r="N14" s="18"/>
      <c r="U14" s="34"/>
    </row>
    <row r="15" spans="3:21" x14ac:dyDescent="0.3">
      <c r="C15" s="59" t="s">
        <v>148</v>
      </c>
      <c r="D15" s="60"/>
      <c r="E15" s="64"/>
      <c r="F15" s="65"/>
      <c r="G15" s="65"/>
      <c r="H15" s="66"/>
      <c r="I15" s="59" t="s">
        <v>68</v>
      </c>
      <c r="J15" s="60"/>
      <c r="K15" s="69"/>
      <c r="L15" s="70"/>
      <c r="M15" s="2" t="s">
        <v>152</v>
      </c>
      <c r="N15" s="18"/>
      <c r="O15" s="35">
        <f>HOUR(K14)+MINUTE(K14)/60</f>
        <v>0</v>
      </c>
    </row>
    <row r="16" spans="3:21" ht="5.0999999999999996" customHeight="1" x14ac:dyDescent="0.3"/>
    <row r="17" spans="3:23" x14ac:dyDescent="0.3">
      <c r="C17" s="83" t="s">
        <v>69</v>
      </c>
      <c r="D17" s="83"/>
      <c r="E17" s="83"/>
      <c r="F17" s="93" t="str">
        <f>IFERROR(VLOOKUP($N$8&amp;C17,Contratos!A:L,12,0),"0")</f>
        <v>0</v>
      </c>
      <c r="G17" s="93"/>
      <c r="H17" s="39" t="s">
        <v>11</v>
      </c>
      <c r="I17" s="94">
        <f>IFERROR(F17*N14,0)</f>
        <v>0</v>
      </c>
      <c r="J17" s="94"/>
      <c r="K17" s="40"/>
    </row>
    <row r="18" spans="3:23" x14ac:dyDescent="0.3">
      <c r="C18" s="83" t="s">
        <v>70</v>
      </c>
      <c r="D18" s="83"/>
      <c r="E18" s="83"/>
      <c r="F18" s="93" t="str">
        <f>IFERROR(VLOOKUP($N$8&amp;C18,Contratos!A:L,12,0),"0")</f>
        <v>0</v>
      </c>
      <c r="G18" s="93"/>
      <c r="H18" s="39" t="s">
        <v>11</v>
      </c>
      <c r="I18" s="94">
        <f>IFERROR(F18*N15,0)</f>
        <v>0</v>
      </c>
      <c r="J18" s="94"/>
      <c r="K18" s="40"/>
    </row>
    <row r="19" spans="3:23" ht="5.0999999999999996" customHeight="1" x14ac:dyDescent="0.3">
      <c r="D19" s="38"/>
      <c r="E19" s="38"/>
      <c r="F19" s="38"/>
    </row>
    <row r="20" spans="3:23" x14ac:dyDescent="0.3">
      <c r="C20" s="80" t="s">
        <v>12</v>
      </c>
      <c r="D20" s="81"/>
      <c r="E20" s="81"/>
      <c r="F20" s="81"/>
      <c r="G20" s="81"/>
      <c r="H20" s="81"/>
      <c r="I20" s="81"/>
      <c r="J20" s="81"/>
      <c r="K20" s="81"/>
      <c r="L20" s="81"/>
      <c r="M20" s="81"/>
      <c r="N20" s="82"/>
    </row>
    <row r="21" spans="3:23" ht="5.0999999999999996" customHeight="1" x14ac:dyDescent="0.3"/>
    <row r="22" spans="3:23" ht="15" customHeight="1" x14ac:dyDescent="0.3">
      <c r="C22" s="53" t="s">
        <v>0</v>
      </c>
      <c r="D22" s="71"/>
      <c r="E22" s="72"/>
      <c r="F22" s="72"/>
      <c r="G22" s="72"/>
      <c r="H22" s="73"/>
      <c r="I22" s="53" t="s">
        <v>1</v>
      </c>
      <c r="J22" s="41"/>
      <c r="K22" s="42"/>
      <c r="L22" s="42"/>
      <c r="M22" s="42"/>
      <c r="N22" s="43"/>
    </row>
    <row r="23" spans="3:23" ht="15" customHeight="1" x14ac:dyDescent="0.3">
      <c r="C23" s="54"/>
      <c r="D23" s="74"/>
      <c r="E23" s="75"/>
      <c r="F23" s="75"/>
      <c r="G23" s="75"/>
      <c r="H23" s="76"/>
      <c r="I23" s="54"/>
      <c r="J23" s="44"/>
      <c r="K23" s="45"/>
      <c r="L23" s="45"/>
      <c r="M23" s="45"/>
      <c r="N23" s="46"/>
    </row>
    <row r="24" spans="3:23" x14ac:dyDescent="0.3">
      <c r="C24" s="54"/>
      <c r="D24" s="74"/>
      <c r="E24" s="75"/>
      <c r="F24" s="75"/>
      <c r="G24" s="75"/>
      <c r="H24" s="76"/>
      <c r="I24" s="54"/>
      <c r="J24" s="56" t="s">
        <v>153</v>
      </c>
      <c r="K24" s="57"/>
      <c r="L24" s="57"/>
      <c r="M24" s="57"/>
      <c r="N24" s="58"/>
    </row>
    <row r="25" spans="3:23" x14ac:dyDescent="0.3">
      <c r="C25" s="54"/>
      <c r="D25" s="74"/>
      <c r="E25" s="75"/>
      <c r="F25" s="75"/>
      <c r="G25" s="75"/>
      <c r="H25" s="76"/>
      <c r="I25" s="54"/>
      <c r="J25" s="44"/>
      <c r="K25" s="45"/>
      <c r="L25" s="45"/>
      <c r="M25" s="45"/>
      <c r="N25" s="46"/>
    </row>
    <row r="26" spans="3:23" x14ac:dyDescent="0.3">
      <c r="C26" s="54"/>
      <c r="D26" s="74"/>
      <c r="E26" s="75"/>
      <c r="F26" s="75"/>
      <c r="G26" s="75"/>
      <c r="H26" s="76"/>
      <c r="I26" s="54"/>
      <c r="J26" s="44"/>
      <c r="K26" s="45"/>
      <c r="L26" s="45"/>
      <c r="M26" s="45"/>
      <c r="N26" s="46"/>
    </row>
    <row r="27" spans="3:23" x14ac:dyDescent="0.3">
      <c r="C27" s="54"/>
      <c r="D27" s="74"/>
      <c r="E27" s="75"/>
      <c r="F27" s="75"/>
      <c r="G27" s="75"/>
      <c r="H27" s="76"/>
      <c r="I27" s="54"/>
      <c r="J27" s="44"/>
      <c r="K27" s="45"/>
      <c r="L27" s="45"/>
      <c r="M27" s="45"/>
      <c r="N27" s="46"/>
    </row>
    <row r="28" spans="3:23" x14ac:dyDescent="0.3">
      <c r="C28" s="54"/>
      <c r="D28" s="74"/>
      <c r="E28" s="75"/>
      <c r="F28" s="75"/>
      <c r="G28" s="75"/>
      <c r="H28" s="76"/>
      <c r="I28" s="54"/>
      <c r="J28" s="44"/>
      <c r="K28" s="45"/>
      <c r="L28" s="45"/>
      <c r="M28" s="45"/>
      <c r="N28" s="46"/>
    </row>
    <row r="29" spans="3:23" x14ac:dyDescent="0.3">
      <c r="C29" s="54"/>
      <c r="D29" s="74"/>
      <c r="E29" s="75"/>
      <c r="F29" s="75"/>
      <c r="G29" s="75"/>
      <c r="H29" s="76"/>
      <c r="I29" s="54"/>
      <c r="J29" s="44"/>
      <c r="K29" s="45"/>
      <c r="L29" s="45"/>
      <c r="M29" s="45"/>
      <c r="N29" s="46"/>
      <c r="W29" s="34"/>
    </row>
    <row r="30" spans="3:23" x14ac:dyDescent="0.3">
      <c r="C30" s="54"/>
      <c r="D30" s="74"/>
      <c r="E30" s="75"/>
      <c r="F30" s="75"/>
      <c r="G30" s="75"/>
      <c r="H30" s="76"/>
      <c r="I30" s="54"/>
      <c r="J30" s="44"/>
      <c r="K30" s="45"/>
      <c r="L30" s="45"/>
      <c r="M30" s="45"/>
      <c r="N30" s="46"/>
    </row>
    <row r="31" spans="3:23" x14ac:dyDescent="0.3">
      <c r="C31" s="54"/>
      <c r="D31" s="74"/>
      <c r="E31" s="75"/>
      <c r="F31" s="75"/>
      <c r="G31" s="75"/>
      <c r="H31" s="76"/>
      <c r="I31" s="54"/>
      <c r="J31" s="44"/>
      <c r="K31" s="45"/>
      <c r="L31" s="45"/>
      <c r="M31" s="9"/>
      <c r="N31" s="46"/>
    </row>
    <row r="32" spans="3:23" x14ac:dyDescent="0.3">
      <c r="C32" s="54"/>
      <c r="D32" s="74"/>
      <c r="E32" s="75"/>
      <c r="F32" s="75"/>
      <c r="G32" s="75"/>
      <c r="H32" s="76"/>
      <c r="I32" s="54"/>
      <c r="J32" s="44"/>
      <c r="K32" s="45"/>
      <c r="L32" s="45"/>
      <c r="M32" s="45"/>
      <c r="N32" s="46"/>
    </row>
    <row r="33" spans="3:14" x14ac:dyDescent="0.3">
      <c r="C33" s="55"/>
      <c r="D33" s="77"/>
      <c r="E33" s="78"/>
      <c r="F33" s="78"/>
      <c r="G33" s="78"/>
      <c r="H33" s="79"/>
      <c r="I33" s="55"/>
      <c r="J33" s="47"/>
      <c r="K33" s="48"/>
      <c r="L33" s="48"/>
      <c r="M33" s="48"/>
      <c r="N33" s="49"/>
    </row>
    <row r="34" spans="3:14" ht="5.0999999999999996" customHeight="1" x14ac:dyDescent="0.3"/>
    <row r="35" spans="3:14" ht="15" customHeight="1" x14ac:dyDescent="0.3">
      <c r="C35" s="53" t="s">
        <v>2</v>
      </c>
      <c r="D35" s="36"/>
      <c r="E35" s="6"/>
      <c r="F35" s="6"/>
      <c r="G35" s="6"/>
      <c r="H35" s="6"/>
      <c r="I35" s="53" t="s">
        <v>3</v>
      </c>
      <c r="J35" s="36"/>
      <c r="K35" s="6"/>
      <c r="L35" s="6"/>
      <c r="M35" s="6"/>
      <c r="N35" s="7"/>
    </row>
    <row r="36" spans="3:14" ht="15" customHeight="1" x14ac:dyDescent="0.3">
      <c r="C36" s="54"/>
      <c r="D36" s="8"/>
      <c r="I36" s="54"/>
      <c r="J36" s="8"/>
      <c r="N36" s="9"/>
    </row>
    <row r="37" spans="3:14" x14ac:dyDescent="0.3">
      <c r="C37" s="54"/>
      <c r="D37"/>
      <c r="I37" s="54"/>
      <c r="J37" s="8"/>
      <c r="N37" s="9"/>
    </row>
    <row r="38" spans="3:14" x14ac:dyDescent="0.3">
      <c r="C38" s="54"/>
      <c r="D38" s="8"/>
      <c r="I38" s="54"/>
      <c r="J38" s="8"/>
      <c r="N38" s="9"/>
    </row>
    <row r="39" spans="3:14" x14ac:dyDescent="0.3">
      <c r="C39" s="54"/>
      <c r="D39" s="8"/>
      <c r="I39" s="54"/>
      <c r="J39" s="8"/>
      <c r="N39" s="9"/>
    </row>
    <row r="40" spans="3:14" x14ac:dyDescent="0.3">
      <c r="C40" s="54"/>
      <c r="D40" s="8"/>
      <c r="I40" s="54"/>
      <c r="J40" s="8"/>
      <c r="N40" s="9"/>
    </row>
    <row r="41" spans="3:14" x14ac:dyDescent="0.3">
      <c r="C41" s="54"/>
      <c r="D41" s="8"/>
      <c r="I41" s="54"/>
      <c r="J41" s="8"/>
      <c r="N41" s="9"/>
    </row>
    <row r="42" spans="3:14" x14ac:dyDescent="0.3">
      <c r="C42" s="54"/>
      <c r="D42" s="8"/>
      <c r="I42" s="54"/>
      <c r="J42" s="8"/>
      <c r="N42" s="9"/>
    </row>
    <row r="43" spans="3:14" x14ac:dyDescent="0.3">
      <c r="C43" s="54"/>
      <c r="D43" s="8"/>
      <c r="I43" s="54"/>
      <c r="J43" s="8"/>
    </row>
    <row r="44" spans="3:14" x14ac:dyDescent="0.3">
      <c r="C44" s="54"/>
      <c r="D44" s="8"/>
      <c r="I44" s="54"/>
      <c r="J44" s="8"/>
      <c r="N44" s="9"/>
    </row>
    <row r="45" spans="3:14" x14ac:dyDescent="0.3">
      <c r="C45" s="54"/>
      <c r="D45" s="8"/>
      <c r="I45" s="54"/>
      <c r="J45" s="8"/>
      <c r="N45" s="9"/>
    </row>
    <row r="46" spans="3:14" x14ac:dyDescent="0.3">
      <c r="C46" s="55"/>
      <c r="D46" s="10"/>
      <c r="E46" s="11"/>
      <c r="F46" s="11"/>
      <c r="G46" s="11"/>
      <c r="H46" s="11"/>
      <c r="I46" s="55"/>
      <c r="J46" s="10"/>
      <c r="K46" s="11"/>
      <c r="L46" s="11"/>
      <c r="M46" s="11"/>
      <c r="N46" s="12"/>
    </row>
    <row r="47" spans="3:14" ht="5.0999999999999996" customHeight="1" x14ac:dyDescent="0.3"/>
    <row r="48" spans="3:14" ht="15" customHeight="1" x14ac:dyDescent="0.3">
      <c r="C48" s="53" t="s">
        <v>4</v>
      </c>
      <c r="D48" s="36"/>
      <c r="E48" s="6"/>
      <c r="F48" s="6"/>
      <c r="G48" s="6"/>
      <c r="H48" s="6"/>
      <c r="I48" s="53" t="s">
        <v>5</v>
      </c>
      <c r="J48" s="36"/>
      <c r="K48" s="6"/>
      <c r="L48" s="6"/>
      <c r="M48" s="6"/>
      <c r="N48" s="7"/>
    </row>
    <row r="49" spans="3:14" ht="15" customHeight="1" x14ac:dyDescent="0.3">
      <c r="C49" s="54"/>
      <c r="D49" s="8"/>
      <c r="I49" s="54"/>
      <c r="J49" s="8"/>
      <c r="N49" s="9"/>
    </row>
    <row r="50" spans="3:14" x14ac:dyDescent="0.3">
      <c r="C50" s="54"/>
      <c r="D50" s="8"/>
      <c r="I50" s="54"/>
      <c r="J50" s="8"/>
      <c r="N50" s="9"/>
    </row>
    <row r="51" spans="3:14" x14ac:dyDescent="0.3">
      <c r="C51" s="54"/>
      <c r="D51" s="8"/>
      <c r="I51" s="54"/>
      <c r="J51" s="8"/>
      <c r="N51" s="9"/>
    </row>
    <row r="52" spans="3:14" x14ac:dyDescent="0.3">
      <c r="C52" s="54"/>
      <c r="D52" s="8"/>
      <c r="I52" s="54"/>
      <c r="J52" s="8"/>
      <c r="N52" s="9"/>
    </row>
    <row r="53" spans="3:14" x14ac:dyDescent="0.3">
      <c r="C53" s="54"/>
      <c r="D53" s="8"/>
      <c r="I53" s="54"/>
      <c r="J53" s="8"/>
      <c r="N53" s="9"/>
    </row>
    <row r="54" spans="3:14" x14ac:dyDescent="0.3">
      <c r="C54" s="54"/>
      <c r="D54" s="8"/>
      <c r="I54" s="54"/>
      <c r="J54" s="8"/>
      <c r="N54" s="9"/>
    </row>
    <row r="55" spans="3:14" x14ac:dyDescent="0.3">
      <c r="C55" s="54"/>
      <c r="D55" s="8"/>
      <c r="I55" s="54"/>
      <c r="J55" s="8"/>
      <c r="N55" s="9"/>
    </row>
    <row r="56" spans="3:14" x14ac:dyDescent="0.3">
      <c r="C56" s="54"/>
      <c r="D56" s="8"/>
      <c r="I56" s="54"/>
      <c r="J56" s="8"/>
      <c r="N56" s="9"/>
    </row>
    <row r="57" spans="3:14" x14ac:dyDescent="0.3">
      <c r="C57" s="54"/>
      <c r="D57" s="8"/>
      <c r="I57" s="54"/>
      <c r="J57" s="8"/>
      <c r="N57" s="9"/>
    </row>
    <row r="58" spans="3:14" x14ac:dyDescent="0.3">
      <c r="C58" s="54"/>
      <c r="D58" s="8"/>
      <c r="I58" s="54"/>
      <c r="J58" s="8"/>
      <c r="N58" s="9"/>
    </row>
    <row r="59" spans="3:14" x14ac:dyDescent="0.3">
      <c r="C59" s="55"/>
      <c r="D59" s="10"/>
      <c r="E59" s="11"/>
      <c r="F59" s="11"/>
      <c r="G59" s="11"/>
      <c r="H59" s="11"/>
      <c r="I59" s="55"/>
      <c r="J59" s="10"/>
      <c r="K59" s="11"/>
      <c r="L59" s="11"/>
      <c r="M59" s="11"/>
      <c r="N59" s="12"/>
    </row>
    <row r="60" spans="3:14" ht="5.0999999999999996" customHeight="1" x14ac:dyDescent="0.3"/>
    <row r="61" spans="3:14" ht="15" customHeight="1" x14ac:dyDescent="0.3">
      <c r="C61" s="53" t="s">
        <v>6</v>
      </c>
      <c r="D61" s="36"/>
      <c r="E61" s="6"/>
      <c r="F61" s="6"/>
      <c r="G61" s="6"/>
      <c r="H61" s="6"/>
      <c r="I61" s="53" t="s">
        <v>7</v>
      </c>
      <c r="J61" s="36"/>
      <c r="K61" s="6"/>
      <c r="L61" s="6"/>
      <c r="M61" s="6"/>
      <c r="N61" s="7"/>
    </row>
    <row r="62" spans="3:14" ht="15" customHeight="1" x14ac:dyDescent="0.3">
      <c r="C62" s="54"/>
      <c r="D62" s="8"/>
      <c r="I62" s="54"/>
      <c r="J62" s="8"/>
      <c r="N62" s="9"/>
    </row>
    <row r="63" spans="3:14" x14ac:dyDescent="0.3">
      <c r="C63" s="54"/>
      <c r="D63" s="8"/>
      <c r="I63" s="54"/>
      <c r="J63" s="8"/>
      <c r="N63" s="9"/>
    </row>
    <row r="64" spans="3:14" x14ac:dyDescent="0.3">
      <c r="C64" s="54"/>
      <c r="D64" s="8"/>
      <c r="I64" s="54"/>
      <c r="J64" s="8"/>
      <c r="N64" s="9"/>
    </row>
    <row r="65" spans="3:14" x14ac:dyDescent="0.3">
      <c r="C65" s="54"/>
      <c r="D65" s="8"/>
      <c r="I65" s="54"/>
      <c r="J65" s="8"/>
      <c r="N65" s="9"/>
    </row>
    <row r="66" spans="3:14" x14ac:dyDescent="0.3">
      <c r="C66" s="54"/>
      <c r="D66" s="8"/>
      <c r="I66" s="54"/>
      <c r="J66" s="8"/>
      <c r="N66" s="9"/>
    </row>
    <row r="67" spans="3:14" x14ac:dyDescent="0.3">
      <c r="C67" s="54"/>
      <c r="D67" s="8"/>
      <c r="I67" s="54"/>
      <c r="J67" s="8"/>
      <c r="N67" s="9"/>
    </row>
    <row r="68" spans="3:14" x14ac:dyDescent="0.3">
      <c r="C68" s="54"/>
      <c r="D68" s="8"/>
      <c r="I68" s="54"/>
      <c r="J68" s="8"/>
      <c r="N68" s="9"/>
    </row>
    <row r="69" spans="3:14" x14ac:dyDescent="0.3">
      <c r="C69" s="54"/>
      <c r="D69" s="8"/>
      <c r="I69" s="54"/>
      <c r="J69" s="8"/>
      <c r="N69" s="9"/>
    </row>
    <row r="70" spans="3:14" x14ac:dyDescent="0.3">
      <c r="C70" s="54"/>
      <c r="D70" s="8"/>
      <c r="I70" s="54"/>
      <c r="J70" s="8"/>
      <c r="N70" s="9"/>
    </row>
    <row r="71" spans="3:14" x14ac:dyDescent="0.3">
      <c r="C71" s="54"/>
      <c r="D71" s="8"/>
      <c r="I71" s="54"/>
      <c r="J71" s="8"/>
      <c r="N71" s="9"/>
    </row>
    <row r="72" spans="3:14" x14ac:dyDescent="0.3">
      <c r="C72" s="55"/>
      <c r="D72" s="10"/>
      <c r="E72" s="11"/>
      <c r="F72" s="11"/>
      <c r="G72" s="11"/>
      <c r="H72" s="11"/>
      <c r="I72" s="55"/>
      <c r="J72" s="10"/>
      <c r="K72" s="11"/>
      <c r="L72" s="11"/>
      <c r="M72" s="11"/>
      <c r="N72" s="12"/>
    </row>
    <row r="77" spans="3:14" ht="20.25" customHeight="1" x14ac:dyDescent="0.3"/>
  </sheetData>
  <sheetProtection selectLockedCells="1" autoFilter="0"/>
  <mergeCells count="38">
    <mergeCell ref="C20:N20"/>
    <mergeCell ref="C18:E18"/>
    <mergeCell ref="F3:N4"/>
    <mergeCell ref="C6:N6"/>
    <mergeCell ref="K8:L8"/>
    <mergeCell ref="D8:E8"/>
    <mergeCell ref="G8:I8"/>
    <mergeCell ref="C17:E17"/>
    <mergeCell ref="F17:G17"/>
    <mergeCell ref="F18:G18"/>
    <mergeCell ref="I17:J17"/>
    <mergeCell ref="I18:J18"/>
    <mergeCell ref="E10:G10"/>
    <mergeCell ref="L10:M10"/>
    <mergeCell ref="C12:N12"/>
    <mergeCell ref="H10:K10"/>
    <mergeCell ref="J24:N24"/>
    <mergeCell ref="C9:D9"/>
    <mergeCell ref="E9:I9"/>
    <mergeCell ref="K9:N9"/>
    <mergeCell ref="I15:J15"/>
    <mergeCell ref="C15:D15"/>
    <mergeCell ref="C14:D14"/>
    <mergeCell ref="E14:H14"/>
    <mergeCell ref="I14:J14"/>
    <mergeCell ref="K14:L14"/>
    <mergeCell ref="K15:L15"/>
    <mergeCell ref="E15:H15"/>
    <mergeCell ref="D22:H33"/>
    <mergeCell ref="C22:C33"/>
    <mergeCell ref="I22:I33"/>
    <mergeCell ref="C10:D10"/>
    <mergeCell ref="C61:C72"/>
    <mergeCell ref="I61:I72"/>
    <mergeCell ref="I48:I59"/>
    <mergeCell ref="C48:C59"/>
    <mergeCell ref="C35:C46"/>
    <mergeCell ref="I35:I46"/>
  </mergeCells>
  <dataValidations count="1">
    <dataValidation type="list" allowBlank="1" showInputMessage="1" showErrorMessage="1" sqref="N8" xr:uid="{6393E8AD-CA24-4944-B17C-978667ACEB32}">
      <formula1>"4600026661,4600021962"</formula1>
    </dataValidation>
  </dataValidations>
  <pageMargins left="0.23622047244094491" right="0.23622047244094491" top="0.74803149606299213" bottom="0.47244094488188981" header="0.31496062992125984" footer="0.31496062992125984"/>
  <pageSetup paperSize="9" scale="68" orientation="portrait" r:id="rId1"/>
  <ignoredErrors>
    <ignoredError sqref="O15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25" r:id="rId4" name="Button 29">
              <controlPr defaultSize="0" print="0" autoFill="0" autoPict="0" macro="[0]!ExportarDuasPlanilhasParaPDF">
                <anchor moveWithCells="1" sizeWithCells="1">
                  <from>
                    <xdr:col>2</xdr:col>
                    <xdr:colOff>0</xdr:colOff>
                    <xdr:row>0</xdr:row>
                    <xdr:rowOff>99060</xdr:rowOff>
                  </from>
                  <to>
                    <xdr:col>3</xdr:col>
                    <xdr:colOff>327660</xdr:colOff>
                    <xdr:row>0</xdr:row>
                    <xdr:rowOff>426720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5" name="Button 44">
              <controlPr defaultSize="0" print="0" autoFill="0" autoPict="0" macro="[0]!AnexarFoto1">
                <anchor moveWithCells="1" sizeWithCells="1">
                  <from>
                    <xdr:col>4</xdr:col>
                    <xdr:colOff>525780</xdr:colOff>
                    <xdr:row>25</xdr:row>
                    <xdr:rowOff>175260</xdr:rowOff>
                  </from>
                  <to>
                    <xdr:col>6</xdr:col>
                    <xdr:colOff>68580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6" name="Button 45">
              <controlPr defaultSize="0" print="0" autoFill="0" autoPict="0" macro="[0]!AnexarFoto2">
                <anchor moveWithCells="1" sizeWithCells="1">
                  <from>
                    <xdr:col>11</xdr:col>
                    <xdr:colOff>274320</xdr:colOff>
                    <xdr:row>25</xdr:row>
                    <xdr:rowOff>182880</xdr:rowOff>
                  </from>
                  <to>
                    <xdr:col>12</xdr:col>
                    <xdr:colOff>411480</xdr:colOff>
                    <xdr:row>27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7" name="Button 49">
              <controlPr defaultSize="0" print="0" autoFill="0" autoPict="0" macro="[0]!AnexarFoto3">
                <anchor moveWithCells="1" sizeWithCells="1">
                  <from>
                    <xdr:col>4</xdr:col>
                    <xdr:colOff>525780</xdr:colOff>
                    <xdr:row>39</xdr:row>
                    <xdr:rowOff>45720</xdr:rowOff>
                  </from>
                  <to>
                    <xdr:col>6</xdr:col>
                    <xdr:colOff>68580</xdr:colOff>
                    <xdr:row>40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8" name="Button 50">
              <controlPr defaultSize="0" print="0" autoFill="0" autoPict="0" macro="[0]!AnexarFoto4">
                <anchor moveWithCells="1" sizeWithCells="1">
                  <from>
                    <xdr:col>11</xdr:col>
                    <xdr:colOff>274320</xdr:colOff>
                    <xdr:row>39</xdr:row>
                    <xdr:rowOff>60960</xdr:rowOff>
                  </from>
                  <to>
                    <xdr:col>12</xdr:col>
                    <xdr:colOff>411480</xdr:colOff>
                    <xdr:row>40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9" name="Button 51">
              <controlPr defaultSize="0" print="0" autoFill="0" autoPict="0" macro="[0]!AnexarFoto5">
                <anchor moveWithCells="1" sizeWithCells="1">
                  <from>
                    <xdr:col>4</xdr:col>
                    <xdr:colOff>525780</xdr:colOff>
                    <xdr:row>52</xdr:row>
                    <xdr:rowOff>106680</xdr:rowOff>
                  </from>
                  <to>
                    <xdr:col>6</xdr:col>
                    <xdr:colOff>68580</xdr:colOff>
                    <xdr:row>53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10" name="Button 52">
              <controlPr defaultSize="0" print="0" autoFill="0" autoPict="0" macro="[0]!AnexarFoto6">
                <anchor moveWithCells="1" sizeWithCells="1">
                  <from>
                    <xdr:col>11</xdr:col>
                    <xdr:colOff>274320</xdr:colOff>
                    <xdr:row>52</xdr:row>
                    <xdr:rowOff>114300</xdr:rowOff>
                  </from>
                  <to>
                    <xdr:col>12</xdr:col>
                    <xdr:colOff>411480</xdr:colOff>
                    <xdr:row>53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11" name="Button 53">
              <controlPr defaultSize="0" print="0" autoFill="0" autoPict="0" macro="[0]!AnexarFoto7">
                <anchor moveWithCells="1" sizeWithCells="1">
                  <from>
                    <xdr:col>4</xdr:col>
                    <xdr:colOff>525780</xdr:colOff>
                    <xdr:row>65</xdr:row>
                    <xdr:rowOff>175260</xdr:rowOff>
                  </from>
                  <to>
                    <xdr:col>6</xdr:col>
                    <xdr:colOff>68580</xdr:colOff>
                    <xdr:row>67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12" name="Button 54">
              <controlPr defaultSize="0" print="0" autoFill="0" autoPict="0" macro="[0]!AnexarFoto8">
                <anchor moveWithCells="1" sizeWithCells="1">
                  <from>
                    <xdr:col>11</xdr:col>
                    <xdr:colOff>274320</xdr:colOff>
                    <xdr:row>65</xdr:row>
                    <xdr:rowOff>182880</xdr:rowOff>
                  </from>
                  <to>
                    <xdr:col>12</xdr:col>
                    <xdr:colOff>411480</xdr:colOff>
                    <xdr:row>67</xdr:row>
                    <xdr:rowOff>60960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7E5AA54-4CD3-4405-B876-F5BEDB78DAD5}">
          <x14:formula1>
            <xm:f>Consumidores!#REF!</xm:f>
          </x14:formula1>
          <xm:sqref>D8:E8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C1:G126"/>
  <sheetViews>
    <sheetView showGridLines="0" zoomScaleNormal="100" workbookViewId="0">
      <pane xSplit="2" ySplit="3" topLeftCell="C4" activePane="bottomRight" state="frozen"/>
      <selection activeCell="G8" sqref="G8:I8"/>
      <selection pane="topRight" activeCell="G8" sqref="G8:I8"/>
      <selection pane="bottomLeft" activeCell="G8" sqref="G8:I8"/>
      <selection pane="bottomRight" activeCell="C3" sqref="C3"/>
    </sheetView>
  </sheetViews>
  <sheetFormatPr defaultColWidth="9.109375" defaultRowHeight="17.100000000000001" customHeight="1" x14ac:dyDescent="0.3"/>
  <cols>
    <col min="1" max="2" width="2.6640625" style="19" customWidth="1"/>
    <col min="3" max="3" width="19" style="19" bestFit="1" customWidth="1"/>
    <col min="4" max="4" width="21" style="19" bestFit="1" customWidth="1"/>
    <col min="5" max="5" width="13.6640625" style="19" bestFit="1" customWidth="1"/>
    <col min="6" max="6" width="48.109375" style="19" bestFit="1" customWidth="1"/>
    <col min="7" max="7" width="16.109375" style="19" bestFit="1" customWidth="1"/>
    <col min="8" max="8" width="9.109375" style="19"/>
    <col min="9" max="9" width="25.88671875" style="19" bestFit="1" customWidth="1"/>
    <col min="10" max="10" width="11.5546875" style="19" bestFit="1" customWidth="1"/>
    <col min="11" max="11" width="45.6640625" style="19" bestFit="1" customWidth="1"/>
    <col min="12" max="12" width="16.6640625" style="19" bestFit="1" customWidth="1"/>
    <col min="13" max="13" width="32.109375" style="19" bestFit="1" customWidth="1"/>
    <col min="14" max="16384" width="9.109375" style="19"/>
  </cols>
  <sheetData>
    <row r="1" spans="3:7" ht="9" customHeight="1" x14ac:dyDescent="0.3">
      <c r="D1" s="100"/>
      <c r="E1" s="100"/>
      <c r="F1" s="100"/>
      <c r="G1" s="100"/>
    </row>
    <row r="2" spans="3:7" ht="9" customHeight="1" x14ac:dyDescent="0.3">
      <c r="D2" s="100"/>
      <c r="E2" s="100"/>
      <c r="F2" s="100"/>
      <c r="G2" s="100"/>
    </row>
    <row r="3" spans="3:7" ht="17.100000000000001" customHeight="1" x14ac:dyDescent="0.3">
      <c r="C3" s="20" t="s">
        <v>139</v>
      </c>
      <c r="D3" s="21" t="s">
        <v>72</v>
      </c>
      <c r="E3" s="22" t="s">
        <v>73</v>
      </c>
      <c r="F3" s="22" t="s">
        <v>71</v>
      </c>
      <c r="G3" s="23" t="s">
        <v>150</v>
      </c>
    </row>
    <row r="4" spans="3:7" ht="17.100000000000001" customHeight="1" x14ac:dyDescent="0.3">
      <c r="C4" s="24" t="str">
        <f>IF(OR(Tabela2[[#This Row],[PROTOCOLAR]]="",Tabela2[[#This Row],[CONTA CONTRATO]]=""),"",IF(Tabela2[[#This Row],[PROTOCOLAR]]="NAO","PESSOA FISICA","PESSOA JURIDICA"))</f>
        <v/>
      </c>
      <c r="D4" s="25"/>
      <c r="E4" s="25"/>
      <c r="F4" s="25"/>
      <c r="G4" s="25"/>
    </row>
    <row r="5" spans="3:7" ht="17.100000000000001" customHeight="1" x14ac:dyDescent="0.3">
      <c r="C5" s="24" t="str">
        <f>IF(OR(Tabela2[[#This Row],[PROTOCOLAR]]="",Tabela2[[#This Row],[CONTA CONTRATO]]=""),"",IF(Tabela2[[#This Row],[PROTOCOLAR]]="NAO","PESSOA FISICA","PESSOA JURIDICA"))</f>
        <v/>
      </c>
      <c r="D5" s="25"/>
      <c r="E5" s="25"/>
      <c r="F5" s="25"/>
      <c r="G5" s="25"/>
    </row>
    <row r="6" spans="3:7" ht="17.100000000000001" customHeight="1" x14ac:dyDescent="0.3">
      <c r="C6" s="24" t="str">
        <f>IF(OR(Tabela2[[#This Row],[PROTOCOLAR]]="",Tabela2[[#This Row],[CONTA CONTRATO]]=""),"",IF(Tabela2[[#This Row],[PROTOCOLAR]]="NAO","PESSOA FISICA","PESSOA JURIDICA"))</f>
        <v/>
      </c>
      <c r="D6" s="25"/>
      <c r="E6" s="25"/>
      <c r="F6" s="52"/>
      <c r="G6" s="25"/>
    </row>
    <row r="7" spans="3:7" ht="17.100000000000001" customHeight="1" x14ac:dyDescent="0.3">
      <c r="C7" s="24" t="str">
        <f>IF(OR(Tabela2[[#This Row],[PROTOCOLAR]]="",Tabela2[[#This Row],[CONTA CONTRATO]]=""),"",IF(Tabela2[[#This Row],[PROTOCOLAR]]="NAO","PESSOA FISICA","PESSOA JURIDICA"))</f>
        <v/>
      </c>
      <c r="D7" s="25"/>
      <c r="E7" s="25"/>
      <c r="F7" s="25"/>
      <c r="G7" s="25"/>
    </row>
    <row r="8" spans="3:7" ht="17.100000000000001" customHeight="1" x14ac:dyDescent="0.3">
      <c r="C8" s="24" t="str">
        <f>IF(OR(Tabela2[[#This Row],[PROTOCOLAR]]="",Tabela2[[#This Row],[CONTA CONTRATO]]=""),"",IF(Tabela2[[#This Row],[PROTOCOLAR]]="NAO","PESSOA FISICA","PESSOA JURIDICA"))</f>
        <v/>
      </c>
      <c r="D8" s="25"/>
      <c r="E8" s="25"/>
      <c r="F8" s="25"/>
      <c r="G8" s="25"/>
    </row>
    <row r="9" spans="3:7" ht="17.100000000000001" customHeight="1" x14ac:dyDescent="0.3">
      <c r="C9" s="24" t="str">
        <f>IF(OR(Tabela2[[#This Row],[PROTOCOLAR]]="",Tabela2[[#This Row],[CONTA CONTRATO]]=""),"",IF(Tabela2[[#This Row],[PROTOCOLAR]]="NAO","PESSOA FISICA","PESSOA JURIDICA"))</f>
        <v/>
      </c>
      <c r="D9" s="25"/>
      <c r="E9" s="25"/>
      <c r="F9" s="25"/>
      <c r="G9" s="25"/>
    </row>
    <row r="10" spans="3:7" ht="17.100000000000001" customHeight="1" x14ac:dyDescent="0.3">
      <c r="C10" s="24" t="str">
        <f>IF(OR(Tabela2[[#This Row],[PROTOCOLAR]]="",Tabela2[[#This Row],[CONTA CONTRATO]]=""),"",IF(Tabela2[[#This Row],[PROTOCOLAR]]="NAO","PESSOA FISICA","PESSOA JURIDICA"))</f>
        <v/>
      </c>
      <c r="D10" s="25"/>
      <c r="E10" s="25"/>
      <c r="F10" s="25"/>
      <c r="G10" s="25"/>
    </row>
    <row r="11" spans="3:7" ht="17.100000000000001" customHeight="1" x14ac:dyDescent="0.3">
      <c r="C11" s="24" t="str">
        <f>IF(OR(Tabela2[[#This Row],[PROTOCOLAR]]="",Tabela2[[#This Row],[CONTA CONTRATO]]=""),"",IF(Tabela2[[#This Row],[PROTOCOLAR]]="NAO","PESSOA FISICA","PESSOA JURIDICA"))</f>
        <v/>
      </c>
      <c r="D11" s="25"/>
      <c r="E11" s="25"/>
      <c r="F11" s="52"/>
      <c r="G11" s="25"/>
    </row>
    <row r="12" spans="3:7" ht="17.100000000000001" customHeight="1" x14ac:dyDescent="0.3">
      <c r="C12" s="24" t="str">
        <f>IF(OR(Tabela2[[#This Row],[PROTOCOLAR]]="",Tabela2[[#This Row],[CONTA CONTRATO]]=""),"",IF(Tabela2[[#This Row],[PROTOCOLAR]]="NAO","PESSOA FISICA","PESSOA JURIDICA"))</f>
        <v/>
      </c>
      <c r="D12" s="25"/>
      <c r="E12" s="25"/>
      <c r="F12" s="25"/>
      <c r="G12" s="25"/>
    </row>
    <row r="13" spans="3:7" ht="17.100000000000001" customHeight="1" x14ac:dyDescent="0.3">
      <c r="C13" s="24" t="str">
        <f>IF(OR(Tabela2[[#This Row],[PROTOCOLAR]]="",Tabela2[[#This Row],[CONTA CONTRATO]]=""),"",IF(Tabela2[[#This Row],[PROTOCOLAR]]="NAO","PESSOA FISICA","PESSOA JURIDICA"))</f>
        <v/>
      </c>
      <c r="D13" s="25"/>
      <c r="E13" s="25"/>
      <c r="F13" s="25"/>
      <c r="G13" s="25"/>
    </row>
    <row r="14" spans="3:7" ht="17.100000000000001" customHeight="1" x14ac:dyDescent="0.3">
      <c r="C14" s="24" t="str">
        <f>IF(OR(Tabela2[[#This Row],[PROTOCOLAR]]="",Tabela2[[#This Row],[CONTA CONTRATO]]=""),"",IF(Tabela2[[#This Row],[PROTOCOLAR]]="NAO","PESSOA FISICA","PESSOA JURIDICA"))</f>
        <v/>
      </c>
      <c r="D14" s="25"/>
      <c r="E14" s="25"/>
      <c r="F14" s="52"/>
      <c r="G14" s="25"/>
    </row>
    <row r="15" spans="3:7" ht="17.100000000000001" customHeight="1" x14ac:dyDescent="0.3">
      <c r="C15" s="24" t="str">
        <f>IF(OR(Tabela2[[#This Row],[PROTOCOLAR]]="",Tabela2[[#This Row],[CONTA CONTRATO]]=""),"",IF(Tabela2[[#This Row],[PROTOCOLAR]]="NAO","PESSOA FISICA","PESSOA JURIDICA"))</f>
        <v/>
      </c>
      <c r="D15" s="25"/>
      <c r="E15" s="25"/>
      <c r="F15" s="25"/>
      <c r="G15" s="25"/>
    </row>
    <row r="16" spans="3:7" ht="17.100000000000001" customHeight="1" x14ac:dyDescent="0.3">
      <c r="C16" s="24" t="str">
        <f>IF(OR(Tabela2[[#This Row],[PROTOCOLAR]]="",Tabela2[[#This Row],[CONTA CONTRATO]]=""),"",IF(Tabela2[[#This Row],[PROTOCOLAR]]="NAO","PESSOA FISICA","PESSOA JURIDICA"))</f>
        <v/>
      </c>
      <c r="D16" s="25"/>
      <c r="E16" s="25"/>
      <c r="F16" s="25"/>
      <c r="G16" s="25"/>
    </row>
    <row r="17" spans="3:7" ht="17.100000000000001" customHeight="1" x14ac:dyDescent="0.3">
      <c r="C17" s="24" t="str">
        <f>IF(OR(Tabela2[[#This Row],[PROTOCOLAR]]="",Tabela2[[#This Row],[CONTA CONTRATO]]=""),"",IF(Tabela2[[#This Row],[PROTOCOLAR]]="NAO","PESSOA FISICA","PESSOA JURIDICA"))</f>
        <v/>
      </c>
      <c r="D17" s="25"/>
      <c r="E17" s="25"/>
      <c r="F17" s="25"/>
      <c r="G17" s="25"/>
    </row>
    <row r="18" spans="3:7" ht="17.100000000000001" customHeight="1" x14ac:dyDescent="0.3">
      <c r="C18" s="24" t="str">
        <f>IF(OR(Tabela2[[#This Row],[PROTOCOLAR]]="",Tabela2[[#This Row],[CONTA CONTRATO]]=""),"",IF(Tabela2[[#This Row],[PROTOCOLAR]]="NAO","PESSOA FISICA","PESSOA JURIDICA"))</f>
        <v/>
      </c>
      <c r="D18" s="25"/>
      <c r="E18" s="25"/>
      <c r="F18" s="25"/>
      <c r="G18" s="25"/>
    </row>
    <row r="19" spans="3:7" ht="17.100000000000001" customHeight="1" x14ac:dyDescent="0.3">
      <c r="C19" s="24" t="str">
        <f>IF(OR(Tabela2[[#This Row],[PROTOCOLAR]]="",Tabela2[[#This Row],[CONTA CONTRATO]]=""),"",IF(Tabela2[[#This Row],[PROTOCOLAR]]="NAO","PESSOA FISICA","PESSOA JURIDICA"))</f>
        <v/>
      </c>
      <c r="D19" s="25"/>
      <c r="E19" s="25"/>
      <c r="F19" s="25"/>
      <c r="G19" s="25"/>
    </row>
    <row r="20" spans="3:7" ht="17.100000000000001" customHeight="1" x14ac:dyDescent="0.3">
      <c r="C20" s="24" t="str">
        <f>IF(OR(Tabela2[[#This Row],[PROTOCOLAR]]="",Tabela2[[#This Row],[CONTA CONTRATO]]=""),"",IF(Tabela2[[#This Row],[PROTOCOLAR]]="NAO","PESSOA FISICA","PESSOA JURIDICA"))</f>
        <v/>
      </c>
      <c r="D20" s="25"/>
      <c r="E20" s="25"/>
      <c r="F20" s="25"/>
      <c r="G20" s="25"/>
    </row>
    <row r="21" spans="3:7" ht="17.100000000000001" customHeight="1" x14ac:dyDescent="0.3">
      <c r="C21" s="24" t="str">
        <f>IF(OR(Tabela2[[#This Row],[PROTOCOLAR]]="",Tabela2[[#This Row],[CONTA CONTRATO]]=""),"",IF(Tabela2[[#This Row],[PROTOCOLAR]]="NAO","PESSOA FISICA","PESSOA JURIDICA"))</f>
        <v/>
      </c>
      <c r="D21" s="25"/>
      <c r="E21" s="25"/>
      <c r="F21" s="25"/>
      <c r="G21" s="25"/>
    </row>
    <row r="22" spans="3:7" ht="17.100000000000001" customHeight="1" x14ac:dyDescent="0.3">
      <c r="C22" s="24" t="str">
        <f>IF(OR(Tabela2[[#This Row],[PROTOCOLAR]]="",Tabela2[[#This Row],[CONTA CONTRATO]]=""),"",IF(Tabela2[[#This Row],[PROTOCOLAR]]="NAO","PESSOA FISICA","PESSOA JURIDICA"))</f>
        <v/>
      </c>
      <c r="D22" s="25"/>
      <c r="E22" s="25"/>
      <c r="F22" s="25"/>
      <c r="G22" s="25"/>
    </row>
    <row r="23" spans="3:7" ht="17.100000000000001" customHeight="1" x14ac:dyDescent="0.3">
      <c r="C23" s="24" t="str">
        <f>IF(OR(Tabela2[[#This Row],[PROTOCOLAR]]="",Tabela2[[#This Row],[CONTA CONTRATO]]=""),"",IF(Tabela2[[#This Row],[PROTOCOLAR]]="NAO","PESSOA FISICA","PESSOA JURIDICA"))</f>
        <v/>
      </c>
      <c r="D23" s="25"/>
      <c r="E23" s="25"/>
      <c r="F23" s="25"/>
      <c r="G23" s="25"/>
    </row>
    <row r="24" spans="3:7" ht="17.100000000000001" customHeight="1" x14ac:dyDescent="0.3">
      <c r="C24" s="24" t="str">
        <f>IF(OR(Tabela2[[#This Row],[PROTOCOLAR]]="",Tabela2[[#This Row],[CONTA CONTRATO]]=""),"",IF(Tabela2[[#This Row],[PROTOCOLAR]]="NAO","PESSOA FISICA","PESSOA JURIDICA"))</f>
        <v/>
      </c>
      <c r="D24" s="25"/>
      <c r="E24" s="25"/>
      <c r="F24" s="25"/>
      <c r="G24" s="25"/>
    </row>
    <row r="25" spans="3:7" ht="17.100000000000001" customHeight="1" x14ac:dyDescent="0.3">
      <c r="C25" s="24" t="str">
        <f>IF(OR(Tabela2[[#This Row],[PROTOCOLAR]]="",Tabela2[[#This Row],[CONTA CONTRATO]]=""),"",IF(Tabela2[[#This Row],[PROTOCOLAR]]="NAO","PESSOA FISICA","PESSOA JURIDICA"))</f>
        <v/>
      </c>
      <c r="D25" s="25"/>
      <c r="E25" s="25"/>
      <c r="F25" s="25"/>
      <c r="G25" s="25"/>
    </row>
    <row r="26" spans="3:7" ht="17.100000000000001" customHeight="1" x14ac:dyDescent="0.3">
      <c r="C26" s="24" t="str">
        <f>IF(OR(Tabela2[[#This Row],[PROTOCOLAR]]="",Tabela2[[#This Row],[CONTA CONTRATO]]=""),"",IF(Tabela2[[#This Row],[PROTOCOLAR]]="NAO","PESSOA FISICA","PESSOA JURIDICA"))</f>
        <v/>
      </c>
      <c r="D26" s="25"/>
      <c r="E26" s="25"/>
      <c r="F26" s="25"/>
      <c r="G26" s="25"/>
    </row>
    <row r="27" spans="3:7" ht="17.100000000000001" customHeight="1" x14ac:dyDescent="0.3">
      <c r="C27" s="24" t="str">
        <f>IF(OR(Tabela2[[#This Row],[PROTOCOLAR]]="",Tabela2[[#This Row],[CONTA CONTRATO]]=""),"",IF(Tabela2[[#This Row],[PROTOCOLAR]]="NAO","PESSOA FISICA","PESSOA JURIDICA"))</f>
        <v/>
      </c>
      <c r="D27" s="25"/>
      <c r="E27" s="25"/>
      <c r="F27" s="25"/>
      <c r="G27" s="25"/>
    </row>
    <row r="28" spans="3:7" ht="17.100000000000001" customHeight="1" x14ac:dyDescent="0.3">
      <c r="C28" s="24" t="str">
        <f>IF(OR(Tabela2[[#This Row],[PROTOCOLAR]]="",Tabela2[[#This Row],[CONTA CONTRATO]]=""),"",IF(Tabela2[[#This Row],[PROTOCOLAR]]="NAO","PESSOA FISICA","PESSOA JURIDICA"))</f>
        <v/>
      </c>
      <c r="D28" s="25"/>
      <c r="E28" s="25"/>
      <c r="F28" s="25"/>
      <c r="G28" s="25"/>
    </row>
    <row r="29" spans="3:7" ht="17.100000000000001" customHeight="1" x14ac:dyDescent="0.3">
      <c r="C29" s="24" t="str">
        <f>IF(OR(Tabela2[[#This Row],[PROTOCOLAR]]="",Tabela2[[#This Row],[CONTA CONTRATO]]=""),"",IF(Tabela2[[#This Row],[PROTOCOLAR]]="NAO","PESSOA FISICA","PESSOA JURIDICA"))</f>
        <v/>
      </c>
      <c r="D29" s="25"/>
      <c r="E29" s="25"/>
      <c r="F29" s="25"/>
      <c r="G29" s="25"/>
    </row>
    <row r="30" spans="3:7" ht="17.100000000000001" customHeight="1" x14ac:dyDescent="0.3">
      <c r="C30" s="24" t="str">
        <f>IF(OR(Tabela2[[#This Row],[PROTOCOLAR]]="",Tabela2[[#This Row],[CONTA CONTRATO]]=""),"",IF(Tabela2[[#This Row],[PROTOCOLAR]]="NAO","PESSOA FISICA","PESSOA JURIDICA"))</f>
        <v/>
      </c>
      <c r="D30" s="25"/>
      <c r="E30" s="25"/>
      <c r="F30" s="25"/>
      <c r="G30" s="25"/>
    </row>
    <row r="31" spans="3:7" ht="17.100000000000001" customHeight="1" x14ac:dyDescent="0.3">
      <c r="C31" s="24" t="str">
        <f>IF(OR(Tabela2[[#This Row],[PROTOCOLAR]]="",Tabela2[[#This Row],[CONTA CONTRATO]]=""),"",IF(Tabela2[[#This Row],[PROTOCOLAR]]="NAO","PESSOA FISICA","PESSOA JURIDICA"))</f>
        <v/>
      </c>
      <c r="D31" s="25"/>
      <c r="E31" s="25"/>
      <c r="F31" s="25"/>
      <c r="G31" s="25"/>
    </row>
    <row r="32" spans="3:7" ht="17.100000000000001" customHeight="1" x14ac:dyDescent="0.3">
      <c r="C32" s="24" t="str">
        <f>IF(OR(Tabela2[[#This Row],[PROTOCOLAR]]="",Tabela2[[#This Row],[CONTA CONTRATO]]=""),"",IF(Tabela2[[#This Row],[PROTOCOLAR]]="NAO","PESSOA FISICA","PESSOA JURIDICA"))</f>
        <v/>
      </c>
      <c r="D32" s="25"/>
      <c r="E32" s="25"/>
      <c r="F32" s="52"/>
      <c r="G32" s="25"/>
    </row>
    <row r="33" spans="3:7" ht="17.100000000000001" customHeight="1" x14ac:dyDescent="0.3">
      <c r="C33" s="24" t="str">
        <f>IF(OR(Tabela2[[#This Row],[PROTOCOLAR]]="",Tabela2[[#This Row],[CONTA CONTRATO]]=""),"",IF(Tabela2[[#This Row],[PROTOCOLAR]]="NAO","PESSOA FISICA","PESSOA JURIDICA"))</f>
        <v/>
      </c>
      <c r="D33" s="25"/>
      <c r="E33" s="25"/>
      <c r="F33" s="25"/>
      <c r="G33" s="25"/>
    </row>
    <row r="34" spans="3:7" ht="17.100000000000001" customHeight="1" x14ac:dyDescent="0.3">
      <c r="C34" s="24" t="str">
        <f>IF(OR(Tabela2[[#This Row],[PROTOCOLAR]]="",Tabela2[[#This Row],[CONTA CONTRATO]]=""),"",IF(Tabela2[[#This Row],[PROTOCOLAR]]="NAO","PESSOA FISICA","PESSOA JURIDICA"))</f>
        <v/>
      </c>
      <c r="D34" s="25"/>
      <c r="E34" s="25"/>
      <c r="F34" s="25"/>
      <c r="G34" s="25"/>
    </row>
    <row r="35" spans="3:7" ht="17.100000000000001" customHeight="1" x14ac:dyDescent="0.3">
      <c r="C35" s="24" t="str">
        <f>IF(OR(Tabela2[[#This Row],[PROTOCOLAR]]="",Tabela2[[#This Row],[CONTA CONTRATO]]=""),"",IF(Tabela2[[#This Row],[PROTOCOLAR]]="NAO","PESSOA FISICA","PESSOA JURIDICA"))</f>
        <v/>
      </c>
      <c r="D35" s="25"/>
      <c r="E35" s="25"/>
      <c r="F35" s="25"/>
      <c r="G35" s="25"/>
    </row>
    <row r="36" spans="3:7" ht="17.100000000000001" customHeight="1" x14ac:dyDescent="0.3">
      <c r="C36" s="24" t="str">
        <f>IF(OR(Tabela2[[#This Row],[PROTOCOLAR]]="",Tabela2[[#This Row],[CONTA CONTRATO]]=""),"",IF(Tabela2[[#This Row],[PROTOCOLAR]]="NAO","PESSOA FISICA","PESSOA JURIDICA"))</f>
        <v/>
      </c>
      <c r="D36" s="25"/>
      <c r="E36" s="25"/>
      <c r="F36" s="25"/>
      <c r="G36" s="25"/>
    </row>
    <row r="37" spans="3:7" ht="17.100000000000001" customHeight="1" x14ac:dyDescent="0.3">
      <c r="C37" s="24" t="str">
        <f>IF(OR(Tabela2[[#This Row],[PROTOCOLAR]]="",Tabela2[[#This Row],[CONTA CONTRATO]]=""),"",IF(Tabela2[[#This Row],[PROTOCOLAR]]="NAO","PESSOA FISICA","PESSOA JURIDICA"))</f>
        <v/>
      </c>
      <c r="D37" s="25"/>
      <c r="E37" s="25"/>
      <c r="F37" s="52"/>
      <c r="G37" s="25"/>
    </row>
    <row r="38" spans="3:7" ht="17.100000000000001" customHeight="1" x14ac:dyDescent="0.3">
      <c r="C38" s="24" t="str">
        <f>IF(OR(Tabela2[[#This Row],[PROTOCOLAR]]="",Tabela2[[#This Row],[CONTA CONTRATO]]=""),"",IF(Tabela2[[#This Row],[PROTOCOLAR]]="NAO","PESSOA FISICA","PESSOA JURIDICA"))</f>
        <v/>
      </c>
      <c r="D38" s="25"/>
      <c r="E38" s="25"/>
      <c r="F38" s="25"/>
      <c r="G38" s="25"/>
    </row>
    <row r="39" spans="3:7" ht="17.100000000000001" customHeight="1" x14ac:dyDescent="0.3">
      <c r="C39" s="24" t="str">
        <f>IF(OR(Tabela2[[#This Row],[PROTOCOLAR]]="",Tabela2[[#This Row],[CONTA CONTRATO]]=""),"",IF(Tabela2[[#This Row],[PROTOCOLAR]]="NAO","PESSOA FISICA","PESSOA JURIDICA"))</f>
        <v/>
      </c>
      <c r="D39" s="25"/>
      <c r="E39" s="25"/>
      <c r="F39" s="25"/>
      <c r="G39" s="25"/>
    </row>
    <row r="40" spans="3:7" ht="17.100000000000001" customHeight="1" x14ac:dyDescent="0.3">
      <c r="C40" s="24" t="str">
        <f>IF(OR(Tabela2[[#This Row],[PROTOCOLAR]]="",Tabela2[[#This Row],[CONTA CONTRATO]]=""),"",IF(Tabela2[[#This Row],[PROTOCOLAR]]="NAO","PESSOA FISICA","PESSOA JURIDICA"))</f>
        <v/>
      </c>
      <c r="D40" s="25"/>
      <c r="E40" s="25"/>
      <c r="F40" s="25"/>
      <c r="G40" s="25"/>
    </row>
    <row r="41" spans="3:7" ht="17.100000000000001" customHeight="1" x14ac:dyDescent="0.3">
      <c r="C41" s="24" t="str">
        <f>IF(OR(Tabela2[[#This Row],[PROTOCOLAR]]="",Tabela2[[#This Row],[CONTA CONTRATO]]=""),"",IF(Tabela2[[#This Row],[PROTOCOLAR]]="NAO","PESSOA FISICA","PESSOA JURIDICA"))</f>
        <v/>
      </c>
      <c r="D41" s="25"/>
      <c r="E41" s="25"/>
      <c r="F41" s="25"/>
      <c r="G41" s="25"/>
    </row>
    <row r="42" spans="3:7" ht="17.100000000000001" customHeight="1" x14ac:dyDescent="0.3">
      <c r="C42" s="24" t="str">
        <f>IF(OR(Tabela2[[#This Row],[PROTOCOLAR]]="",Tabela2[[#This Row],[CONTA CONTRATO]]=""),"",IF(Tabela2[[#This Row],[PROTOCOLAR]]="NAO","PESSOA FISICA","PESSOA JURIDICA"))</f>
        <v/>
      </c>
      <c r="D42" s="25"/>
      <c r="E42" s="25"/>
      <c r="F42" s="25"/>
      <c r="G42" s="25"/>
    </row>
    <row r="43" spans="3:7" ht="17.100000000000001" customHeight="1" x14ac:dyDescent="0.3">
      <c r="C43" s="24" t="str">
        <f>IF(OR(Tabela2[[#This Row],[PROTOCOLAR]]="",Tabela2[[#This Row],[CONTA CONTRATO]]=""),"",IF(Tabela2[[#This Row],[PROTOCOLAR]]="NAO","PESSOA FISICA","PESSOA JURIDICA"))</f>
        <v/>
      </c>
      <c r="D43" s="25"/>
      <c r="E43" s="25"/>
      <c r="F43" s="25"/>
      <c r="G43" s="25"/>
    </row>
    <row r="44" spans="3:7" ht="17.100000000000001" customHeight="1" x14ac:dyDescent="0.3">
      <c r="C44" s="24" t="str">
        <f>IF(OR(Tabela2[[#This Row],[PROTOCOLAR]]="",Tabela2[[#This Row],[CONTA CONTRATO]]=""),"",IF(Tabela2[[#This Row],[PROTOCOLAR]]="NAO","PESSOA FISICA","PESSOA JURIDICA"))</f>
        <v/>
      </c>
      <c r="D44" s="25"/>
      <c r="E44" s="25"/>
      <c r="F44" s="25"/>
      <c r="G44" s="25"/>
    </row>
    <row r="45" spans="3:7" ht="17.100000000000001" customHeight="1" x14ac:dyDescent="0.3">
      <c r="C45" s="24" t="str">
        <f>IF(OR(Tabela2[[#This Row],[PROTOCOLAR]]="",Tabela2[[#This Row],[CONTA CONTRATO]]=""),"",IF(Tabela2[[#This Row],[PROTOCOLAR]]="NAO","PESSOA FISICA","PESSOA JURIDICA"))</f>
        <v/>
      </c>
      <c r="D45" s="25"/>
      <c r="E45" s="25"/>
      <c r="F45" s="25"/>
      <c r="G45" s="25"/>
    </row>
    <row r="46" spans="3:7" ht="17.100000000000001" customHeight="1" x14ac:dyDescent="0.3">
      <c r="C46" s="24" t="str">
        <f>IF(OR(Tabela2[[#This Row],[PROTOCOLAR]]="",Tabela2[[#This Row],[CONTA CONTRATO]]=""),"",IF(Tabela2[[#This Row],[PROTOCOLAR]]="NAO","PESSOA FISICA","PESSOA JURIDICA"))</f>
        <v/>
      </c>
      <c r="D46" s="25"/>
      <c r="E46" s="25"/>
      <c r="F46" s="25"/>
      <c r="G46" s="25"/>
    </row>
    <row r="47" spans="3:7" ht="17.100000000000001" customHeight="1" x14ac:dyDescent="0.3">
      <c r="C47" s="24" t="str">
        <f>IF(OR(Tabela2[[#This Row],[PROTOCOLAR]]="",Tabela2[[#This Row],[CONTA CONTRATO]]=""),"",IF(Tabela2[[#This Row],[PROTOCOLAR]]="NAO","PESSOA FISICA","PESSOA JURIDICA"))</f>
        <v/>
      </c>
      <c r="D47" s="25"/>
      <c r="E47" s="25"/>
      <c r="F47" s="25"/>
      <c r="G47" s="25"/>
    </row>
    <row r="48" spans="3:7" ht="17.100000000000001" customHeight="1" x14ac:dyDescent="0.3">
      <c r="C48" s="24" t="str">
        <f>IF(OR(Tabela2[[#This Row],[PROTOCOLAR]]="",Tabela2[[#This Row],[CONTA CONTRATO]]=""),"",IF(Tabela2[[#This Row],[PROTOCOLAR]]="NAO","PESSOA FISICA","PESSOA JURIDICA"))</f>
        <v/>
      </c>
      <c r="D48" s="25"/>
      <c r="E48" s="25"/>
      <c r="F48" s="25"/>
      <c r="G48" s="25"/>
    </row>
    <row r="49" spans="3:7" ht="17.100000000000001" customHeight="1" x14ac:dyDescent="0.3">
      <c r="C49" s="24" t="str">
        <f>IF(OR(Tabela2[[#This Row],[PROTOCOLAR]]="",Tabela2[[#This Row],[CONTA CONTRATO]]=""),"",IF(Tabela2[[#This Row],[PROTOCOLAR]]="NAO","PESSOA FISICA","PESSOA JURIDICA"))</f>
        <v/>
      </c>
      <c r="D49" s="25"/>
      <c r="E49" s="25"/>
      <c r="F49" s="25"/>
      <c r="G49" s="25"/>
    </row>
    <row r="50" spans="3:7" ht="17.100000000000001" customHeight="1" x14ac:dyDescent="0.3">
      <c r="C50" s="24" t="str">
        <f>IF(OR(Tabela2[[#This Row],[PROTOCOLAR]]="",Tabela2[[#This Row],[CONTA CONTRATO]]=""),"",IF(Tabela2[[#This Row],[PROTOCOLAR]]="NAO","PESSOA FISICA","PESSOA JURIDICA"))</f>
        <v/>
      </c>
      <c r="D50" s="25"/>
      <c r="E50" s="25"/>
      <c r="F50" s="25"/>
      <c r="G50" s="25"/>
    </row>
    <row r="51" spans="3:7" ht="17.100000000000001" customHeight="1" x14ac:dyDescent="0.3">
      <c r="C51" s="24" t="str">
        <f>IF(OR(Tabela2[[#This Row],[PROTOCOLAR]]="",Tabela2[[#This Row],[CONTA CONTRATO]]=""),"",IF(Tabela2[[#This Row],[PROTOCOLAR]]="NAO","PESSOA FISICA","PESSOA JURIDICA"))</f>
        <v/>
      </c>
      <c r="D51" s="25"/>
      <c r="E51" s="25"/>
      <c r="F51" s="25"/>
      <c r="G51" s="25"/>
    </row>
    <row r="52" spans="3:7" ht="17.100000000000001" customHeight="1" x14ac:dyDescent="0.3">
      <c r="C52" s="24" t="str">
        <f>IF(OR(Tabela2[[#This Row],[PROTOCOLAR]]="",Tabela2[[#This Row],[CONTA CONTRATO]]=""),"",IF(Tabela2[[#This Row],[PROTOCOLAR]]="NAO","PESSOA FISICA","PESSOA JURIDICA"))</f>
        <v/>
      </c>
      <c r="D52" s="25"/>
      <c r="E52" s="25"/>
      <c r="F52" s="25"/>
      <c r="G52" s="25"/>
    </row>
    <row r="53" spans="3:7" ht="17.100000000000001" customHeight="1" x14ac:dyDescent="0.3">
      <c r="C53" s="24" t="str">
        <f>IF(OR(Tabela2[[#This Row],[PROTOCOLAR]]="",Tabela2[[#This Row],[CONTA CONTRATO]]=""),"",IF(Tabela2[[#This Row],[PROTOCOLAR]]="NAO","PESSOA FISICA","PESSOA JURIDICA"))</f>
        <v/>
      </c>
      <c r="D53" s="25"/>
      <c r="E53" s="25"/>
      <c r="F53" s="25"/>
      <c r="G53" s="25"/>
    </row>
    <row r="54" spans="3:7" ht="17.100000000000001" customHeight="1" x14ac:dyDescent="0.3">
      <c r="C54" s="24" t="str">
        <f>IF(OR(Tabela2[[#This Row],[PROTOCOLAR]]="",Tabela2[[#This Row],[CONTA CONTRATO]]=""),"",IF(Tabela2[[#This Row],[PROTOCOLAR]]="NAO","PESSOA FISICA","PESSOA JURIDICA"))</f>
        <v/>
      </c>
      <c r="D54" s="25"/>
      <c r="E54" s="25"/>
      <c r="F54" s="25"/>
      <c r="G54" s="25"/>
    </row>
    <row r="55" spans="3:7" ht="17.100000000000001" customHeight="1" x14ac:dyDescent="0.3">
      <c r="C55" s="24" t="str">
        <f>IF(OR(Tabela2[[#This Row],[PROTOCOLAR]]="",Tabela2[[#This Row],[CONTA CONTRATO]]=""),"",IF(Tabela2[[#This Row],[PROTOCOLAR]]="NAO","PESSOA FISICA","PESSOA JURIDICA"))</f>
        <v/>
      </c>
      <c r="D55" s="25"/>
      <c r="E55" s="25"/>
      <c r="F55" s="25"/>
      <c r="G55" s="25"/>
    </row>
    <row r="56" spans="3:7" ht="17.100000000000001" customHeight="1" x14ac:dyDescent="0.3">
      <c r="C56" s="24" t="str">
        <f>IF(OR(Tabela2[[#This Row],[PROTOCOLAR]]="",Tabela2[[#This Row],[CONTA CONTRATO]]=""),"",IF(Tabela2[[#This Row],[PROTOCOLAR]]="NAO","PESSOA FISICA","PESSOA JURIDICA"))</f>
        <v/>
      </c>
      <c r="D56" s="25"/>
      <c r="E56" s="25"/>
      <c r="F56" s="25"/>
      <c r="G56" s="25"/>
    </row>
    <row r="57" spans="3:7" ht="17.100000000000001" customHeight="1" x14ac:dyDescent="0.3">
      <c r="C57" s="24" t="str">
        <f>IF(OR(Tabela2[[#This Row],[PROTOCOLAR]]="",Tabela2[[#This Row],[CONTA CONTRATO]]=""),"",IF(Tabela2[[#This Row],[PROTOCOLAR]]="NAO","PESSOA FISICA","PESSOA JURIDICA"))</f>
        <v/>
      </c>
      <c r="D57" s="26"/>
      <c r="E57" s="26"/>
      <c r="F57" s="26"/>
      <c r="G57" s="25"/>
    </row>
    <row r="58" spans="3:7" ht="17.100000000000001" customHeight="1" x14ac:dyDescent="0.3">
      <c r="C58" s="24" t="str">
        <f>IF(OR(Tabela2[[#This Row],[PROTOCOLAR]]="",Tabela2[[#This Row],[CONTA CONTRATO]]=""),"",IF(Tabela2[[#This Row],[PROTOCOLAR]]="NAO","PESSOA FISICA","PESSOA JURIDICA"))</f>
        <v/>
      </c>
      <c r="D58" s="26"/>
      <c r="E58" s="26"/>
      <c r="F58" s="26"/>
      <c r="G58" s="25"/>
    </row>
    <row r="59" spans="3:7" ht="17.100000000000001" customHeight="1" x14ac:dyDescent="0.3">
      <c r="C59" s="24" t="str">
        <f>IF(OR(Tabela2[[#This Row],[PROTOCOLAR]]="",Tabela2[[#This Row],[CONTA CONTRATO]]=""),"",IF(Tabela2[[#This Row],[PROTOCOLAR]]="NAO","PESSOA FISICA","PESSOA JURIDICA"))</f>
        <v/>
      </c>
      <c r="D59" s="26"/>
      <c r="E59" s="26"/>
      <c r="F59" s="26"/>
      <c r="G59" s="25"/>
    </row>
    <row r="60" spans="3:7" ht="17.100000000000001" customHeight="1" x14ac:dyDescent="0.3">
      <c r="C60" s="24" t="str">
        <f>IF(OR(Tabela2[[#This Row],[PROTOCOLAR]]="",Tabela2[[#This Row],[CONTA CONTRATO]]=""),"",IF(Tabela2[[#This Row],[PROTOCOLAR]]="NAO","PESSOA FISICA","PESSOA JURIDICA"))</f>
        <v/>
      </c>
      <c r="D60" s="26"/>
      <c r="E60" s="26"/>
      <c r="F60" s="26"/>
      <c r="G60" s="25"/>
    </row>
    <row r="61" spans="3:7" ht="17.100000000000001" customHeight="1" x14ac:dyDescent="0.3">
      <c r="C61" s="24" t="str">
        <f>IF(OR(Tabela2[[#This Row],[PROTOCOLAR]]="",Tabela2[[#This Row],[CONTA CONTRATO]]=""),"",IF(Tabela2[[#This Row],[PROTOCOLAR]]="NAO","PESSOA FISICA","PESSOA JURIDICA"))</f>
        <v/>
      </c>
      <c r="D61" s="26"/>
      <c r="E61" s="26"/>
      <c r="F61" s="26"/>
      <c r="G61" s="25"/>
    </row>
    <row r="62" spans="3:7" ht="17.100000000000001" customHeight="1" x14ac:dyDescent="0.3">
      <c r="C62" s="24" t="str">
        <f>IF(OR(Tabela2[[#This Row],[PROTOCOLAR]]="",Tabela2[[#This Row],[CONTA CONTRATO]]=""),"",IF(Tabela2[[#This Row],[PROTOCOLAR]]="NAO","PESSOA FISICA","PESSOA JURIDICA"))</f>
        <v/>
      </c>
      <c r="D62" s="25"/>
      <c r="E62" s="25"/>
      <c r="F62" s="25"/>
      <c r="G62" s="25"/>
    </row>
    <row r="63" spans="3:7" ht="17.100000000000001" customHeight="1" x14ac:dyDescent="0.3">
      <c r="C63" s="24" t="str">
        <f>IF(OR(Tabela2[[#This Row],[PROTOCOLAR]]="",Tabela2[[#This Row],[CONTA CONTRATO]]=""),"",IF(Tabela2[[#This Row],[PROTOCOLAR]]="NAO","PESSOA FISICA","PESSOA JURIDICA"))</f>
        <v/>
      </c>
      <c r="D63" s="25"/>
      <c r="E63" s="25"/>
      <c r="F63" s="25"/>
      <c r="G63" s="25"/>
    </row>
    <row r="64" spans="3:7" ht="17.100000000000001" customHeight="1" x14ac:dyDescent="0.3">
      <c r="C64" s="24" t="str">
        <f>IF(OR(Tabela2[[#This Row],[PROTOCOLAR]]="",Tabela2[[#This Row],[CONTA CONTRATO]]=""),"",IF(Tabela2[[#This Row],[PROTOCOLAR]]="NAO","PESSOA FISICA","PESSOA JURIDICA"))</f>
        <v/>
      </c>
      <c r="D64" s="25"/>
      <c r="E64" s="25"/>
      <c r="F64" s="25"/>
      <c r="G64" s="25"/>
    </row>
    <row r="65" spans="3:7" ht="17.100000000000001" customHeight="1" x14ac:dyDescent="0.3">
      <c r="C65" s="24" t="str">
        <f>IF(OR(Tabela2[[#This Row],[PROTOCOLAR]]="",Tabela2[[#This Row],[CONTA CONTRATO]]=""),"",IF(Tabela2[[#This Row],[PROTOCOLAR]]="NAO","PESSOA FISICA","PESSOA JURIDICA"))</f>
        <v/>
      </c>
      <c r="D65" s="25"/>
      <c r="E65" s="25"/>
      <c r="F65" s="25"/>
      <c r="G65" s="25"/>
    </row>
    <row r="66" spans="3:7" ht="17.100000000000001" customHeight="1" x14ac:dyDescent="0.3">
      <c r="C66" s="24" t="str">
        <f>IF(OR(Tabela2[[#This Row],[PROTOCOLAR]]="",Tabela2[[#This Row],[CONTA CONTRATO]]=""),"",IF(Tabela2[[#This Row],[PROTOCOLAR]]="NAO","PESSOA FISICA","PESSOA JURIDICA"))</f>
        <v/>
      </c>
      <c r="D66" s="25"/>
      <c r="E66" s="25"/>
      <c r="F66" s="25"/>
      <c r="G66" s="25"/>
    </row>
    <row r="67" spans="3:7" ht="17.100000000000001" customHeight="1" x14ac:dyDescent="0.3">
      <c r="C67" s="24" t="str">
        <f>IF(OR(Tabela2[[#This Row],[PROTOCOLAR]]="",Tabela2[[#This Row],[CONTA CONTRATO]]=""),"",IF(Tabela2[[#This Row],[PROTOCOLAR]]="NAO","PESSOA FISICA","PESSOA JURIDICA"))</f>
        <v/>
      </c>
      <c r="D67" s="25"/>
      <c r="E67" s="25"/>
      <c r="F67" s="25"/>
      <c r="G67" s="25"/>
    </row>
    <row r="68" spans="3:7" ht="17.100000000000001" customHeight="1" x14ac:dyDescent="0.3">
      <c r="C68" s="24" t="str">
        <f>IF(OR(Tabela2[[#This Row],[PROTOCOLAR]]="",Tabela2[[#This Row],[CONTA CONTRATO]]=""),"",IF(Tabela2[[#This Row],[PROTOCOLAR]]="NAO","PESSOA FISICA","PESSOA JURIDICA"))</f>
        <v/>
      </c>
      <c r="D68" s="25"/>
      <c r="E68" s="25"/>
      <c r="F68" s="25"/>
      <c r="G68" s="25"/>
    </row>
    <row r="69" spans="3:7" ht="17.100000000000001" customHeight="1" x14ac:dyDescent="0.3">
      <c r="C69" s="24" t="str">
        <f>IF(OR(Tabela2[[#This Row],[PROTOCOLAR]]="",Tabela2[[#This Row],[CONTA CONTRATO]]=""),"",IF(Tabela2[[#This Row],[PROTOCOLAR]]="NAO","PESSOA FISICA","PESSOA JURIDICA"))</f>
        <v/>
      </c>
      <c r="D69" s="25"/>
      <c r="E69" s="25"/>
      <c r="F69" s="25"/>
      <c r="G69" s="25"/>
    </row>
    <row r="70" spans="3:7" ht="17.100000000000001" customHeight="1" x14ac:dyDescent="0.3">
      <c r="C70" s="24" t="str">
        <f>IF(OR(Tabela2[[#This Row],[PROTOCOLAR]]="",Tabela2[[#This Row],[CONTA CONTRATO]]=""),"",IF(Tabela2[[#This Row],[PROTOCOLAR]]="NAO","PESSOA FISICA","PESSOA JURIDICA"))</f>
        <v/>
      </c>
      <c r="D70" s="25"/>
      <c r="E70" s="25"/>
      <c r="F70" s="25"/>
      <c r="G70" s="25"/>
    </row>
    <row r="71" spans="3:7" ht="17.100000000000001" customHeight="1" x14ac:dyDescent="0.3">
      <c r="C71" s="24" t="str">
        <f>IF(OR(Tabela2[[#This Row],[PROTOCOLAR]]="",Tabela2[[#This Row],[CONTA CONTRATO]]=""),"",IF(Tabela2[[#This Row],[PROTOCOLAR]]="NAO","PESSOA FISICA","PESSOA JURIDICA"))</f>
        <v/>
      </c>
      <c r="D71" s="25"/>
      <c r="E71" s="25"/>
      <c r="F71" s="25"/>
      <c r="G71" s="25"/>
    </row>
    <row r="72" spans="3:7" ht="17.100000000000001" customHeight="1" x14ac:dyDescent="0.3">
      <c r="C72" s="24" t="str">
        <f>IF(OR(Tabela2[[#This Row],[PROTOCOLAR]]="",Tabela2[[#This Row],[CONTA CONTRATO]]=""),"",IF(Tabela2[[#This Row],[PROTOCOLAR]]="NAO","PESSOA FISICA","PESSOA JURIDICA"))</f>
        <v/>
      </c>
      <c r="D72" s="25"/>
      <c r="E72" s="25"/>
      <c r="F72" s="25"/>
      <c r="G72" s="25"/>
    </row>
    <row r="73" spans="3:7" ht="17.100000000000001" customHeight="1" x14ac:dyDescent="0.3">
      <c r="C73" s="24" t="str">
        <f>IF(OR(Tabela2[[#This Row],[PROTOCOLAR]]="",Tabela2[[#This Row],[CONTA CONTRATO]]=""),"",IF(Tabela2[[#This Row],[PROTOCOLAR]]="NAO","PESSOA FISICA","PESSOA JURIDICA"))</f>
        <v/>
      </c>
      <c r="D73" s="25"/>
      <c r="E73" s="25"/>
      <c r="F73" s="25"/>
      <c r="G73" s="25"/>
    </row>
    <row r="74" spans="3:7" ht="17.100000000000001" customHeight="1" x14ac:dyDescent="0.3">
      <c r="C74" s="24" t="str">
        <f>IF(OR(Tabela2[[#This Row],[PROTOCOLAR]]="",Tabela2[[#This Row],[CONTA CONTRATO]]=""),"",IF(Tabela2[[#This Row],[PROTOCOLAR]]="NAO","PESSOA FISICA","PESSOA JURIDICA"))</f>
        <v/>
      </c>
      <c r="D74" s="25"/>
      <c r="E74" s="25"/>
      <c r="F74" s="25"/>
      <c r="G74" s="25"/>
    </row>
    <row r="75" spans="3:7" ht="17.100000000000001" customHeight="1" x14ac:dyDescent="0.3">
      <c r="C75" s="24" t="str">
        <f>IF(OR(Tabela2[[#This Row],[PROTOCOLAR]]="",Tabela2[[#This Row],[CONTA CONTRATO]]=""),"",IF(Tabela2[[#This Row],[PROTOCOLAR]]="NAO","PESSOA FISICA","PESSOA JURIDICA"))</f>
        <v/>
      </c>
      <c r="D75" s="25"/>
      <c r="E75" s="25"/>
      <c r="F75" s="25"/>
      <c r="G75" s="25"/>
    </row>
    <row r="76" spans="3:7" ht="17.100000000000001" customHeight="1" x14ac:dyDescent="0.3">
      <c r="C76" s="24" t="str">
        <f>IF(OR(Tabela2[[#This Row],[PROTOCOLAR]]="",Tabela2[[#This Row],[CONTA CONTRATO]]=""),"",IF(Tabela2[[#This Row],[PROTOCOLAR]]="NAO","PESSOA FISICA","PESSOA JURIDICA"))</f>
        <v/>
      </c>
      <c r="D76" s="25"/>
      <c r="E76" s="25"/>
      <c r="F76" s="25"/>
      <c r="G76" s="25"/>
    </row>
    <row r="77" spans="3:7" ht="17.100000000000001" customHeight="1" x14ac:dyDescent="0.3">
      <c r="C77" s="24" t="str">
        <f>IF(OR(Tabela2[[#This Row],[PROTOCOLAR]]="",Tabela2[[#This Row],[CONTA CONTRATO]]=""),"",IF(Tabela2[[#This Row],[PROTOCOLAR]]="NAO","PESSOA FISICA","PESSOA JURIDICA"))</f>
        <v/>
      </c>
      <c r="D77" s="25"/>
      <c r="E77" s="25"/>
      <c r="F77" s="25"/>
      <c r="G77" s="25"/>
    </row>
    <row r="78" spans="3:7" ht="17.100000000000001" customHeight="1" x14ac:dyDescent="0.3">
      <c r="C78" s="24" t="str">
        <f>IF(OR(Tabela2[[#This Row],[PROTOCOLAR]]="",Tabela2[[#This Row],[CONTA CONTRATO]]=""),"",IF(Tabela2[[#This Row],[PROTOCOLAR]]="NAO","PESSOA FISICA","PESSOA JURIDICA"))</f>
        <v/>
      </c>
      <c r="D78" s="25"/>
      <c r="E78" s="25"/>
      <c r="F78" s="25"/>
      <c r="G78" s="25"/>
    </row>
    <row r="79" spans="3:7" ht="17.100000000000001" customHeight="1" x14ac:dyDescent="0.3">
      <c r="C79" s="24" t="str">
        <f>IF(OR(Tabela2[[#This Row],[PROTOCOLAR]]="",Tabela2[[#This Row],[CONTA CONTRATO]]=""),"",IF(Tabela2[[#This Row],[PROTOCOLAR]]="NAO","PESSOA FISICA","PESSOA JURIDICA"))</f>
        <v/>
      </c>
      <c r="D79" s="25"/>
      <c r="E79" s="25"/>
      <c r="F79" s="25"/>
      <c r="G79" s="25"/>
    </row>
    <row r="80" spans="3:7" ht="17.100000000000001" customHeight="1" x14ac:dyDescent="0.3">
      <c r="C80" s="24" t="str">
        <f>IF(OR(Tabela2[[#This Row],[PROTOCOLAR]]="",Tabela2[[#This Row],[CONTA CONTRATO]]=""),"",IF(Tabela2[[#This Row],[PROTOCOLAR]]="NAO","PESSOA FISICA","PESSOA JURIDICA"))</f>
        <v/>
      </c>
      <c r="D80" s="25"/>
      <c r="E80" s="25"/>
      <c r="F80" s="25"/>
      <c r="G80" s="25"/>
    </row>
    <row r="81" spans="3:7" ht="17.100000000000001" customHeight="1" x14ac:dyDescent="0.3">
      <c r="C81" s="24" t="str">
        <f>IF(OR(Tabela2[[#This Row],[PROTOCOLAR]]="",Tabela2[[#This Row],[CONTA CONTRATO]]=""),"",IF(Tabela2[[#This Row],[PROTOCOLAR]]="NAO","PESSOA FISICA","PESSOA JURIDICA"))</f>
        <v/>
      </c>
      <c r="D81" s="25"/>
      <c r="E81" s="25"/>
      <c r="F81" s="25"/>
      <c r="G81" s="25"/>
    </row>
    <row r="82" spans="3:7" ht="17.100000000000001" customHeight="1" x14ac:dyDescent="0.3">
      <c r="C82" s="24" t="str">
        <f>IF(OR(Tabela2[[#This Row],[PROTOCOLAR]]="",Tabela2[[#This Row],[CONTA CONTRATO]]=""),"",IF(Tabela2[[#This Row],[PROTOCOLAR]]="NAO","PESSOA FISICA","PESSOA JURIDICA"))</f>
        <v/>
      </c>
      <c r="D82" s="25"/>
      <c r="E82" s="25"/>
      <c r="F82" s="25"/>
      <c r="G82" s="25"/>
    </row>
    <row r="83" spans="3:7" ht="17.100000000000001" customHeight="1" x14ac:dyDescent="0.3">
      <c r="C83" s="24" t="str">
        <f>IF(OR(Tabela2[[#This Row],[PROTOCOLAR]]="",Tabela2[[#This Row],[CONTA CONTRATO]]=""),"",IF(Tabela2[[#This Row],[PROTOCOLAR]]="NAO","PESSOA FISICA","PESSOA JURIDICA"))</f>
        <v/>
      </c>
      <c r="D83" s="25"/>
      <c r="E83" s="25"/>
      <c r="F83" s="25"/>
      <c r="G83" s="25"/>
    </row>
    <row r="84" spans="3:7" ht="17.100000000000001" customHeight="1" x14ac:dyDescent="0.3">
      <c r="C84" s="24" t="str">
        <f>IF(OR(Tabela2[[#This Row],[PROTOCOLAR]]="",Tabela2[[#This Row],[CONTA CONTRATO]]=""),"",IF(Tabela2[[#This Row],[PROTOCOLAR]]="NAO","PESSOA FISICA","PESSOA JURIDICA"))</f>
        <v/>
      </c>
      <c r="D84" s="25"/>
      <c r="E84" s="25"/>
      <c r="F84" s="25"/>
      <c r="G84" s="25"/>
    </row>
    <row r="85" spans="3:7" ht="17.100000000000001" customHeight="1" x14ac:dyDescent="0.3">
      <c r="C85" s="24" t="str">
        <f>IF(OR(Tabela2[[#This Row],[PROTOCOLAR]]="",Tabela2[[#This Row],[CONTA CONTRATO]]=""),"",IF(Tabela2[[#This Row],[PROTOCOLAR]]="NAO","PESSOA FISICA","PESSOA JURIDICA"))</f>
        <v/>
      </c>
      <c r="D85" s="25"/>
      <c r="E85" s="25"/>
      <c r="F85" s="25"/>
      <c r="G85" s="25"/>
    </row>
    <row r="86" spans="3:7" ht="17.100000000000001" customHeight="1" x14ac:dyDescent="0.3">
      <c r="C86" s="24" t="str">
        <f>IF(OR(Tabela2[[#This Row],[PROTOCOLAR]]="",Tabela2[[#This Row],[CONTA CONTRATO]]=""),"",IF(Tabela2[[#This Row],[PROTOCOLAR]]="NAO","PESSOA FISICA","PESSOA JURIDICA"))</f>
        <v/>
      </c>
      <c r="D86" s="25"/>
      <c r="E86" s="25"/>
      <c r="F86" s="25"/>
      <c r="G86" s="25"/>
    </row>
    <row r="87" spans="3:7" ht="17.100000000000001" customHeight="1" x14ac:dyDescent="0.3">
      <c r="C87" s="24" t="str">
        <f>IF(OR(Tabela2[[#This Row],[PROTOCOLAR]]="",Tabela2[[#This Row],[CONTA CONTRATO]]=""),"",IF(Tabela2[[#This Row],[PROTOCOLAR]]="NAO","PESSOA FISICA","PESSOA JURIDICA"))</f>
        <v/>
      </c>
      <c r="D87" s="25"/>
      <c r="E87" s="25"/>
      <c r="F87" s="25"/>
      <c r="G87" s="25"/>
    </row>
    <row r="88" spans="3:7" ht="17.100000000000001" customHeight="1" x14ac:dyDescent="0.3">
      <c r="C88" s="24" t="str">
        <f>IF(OR(Tabela2[[#This Row],[PROTOCOLAR]]="",Tabela2[[#This Row],[CONTA CONTRATO]]=""),"",IF(Tabela2[[#This Row],[PROTOCOLAR]]="NAO","PESSOA FISICA","PESSOA JURIDICA"))</f>
        <v/>
      </c>
      <c r="D88" s="25"/>
      <c r="E88" s="25"/>
      <c r="F88" s="25"/>
      <c r="G88" s="25"/>
    </row>
    <row r="89" spans="3:7" ht="17.100000000000001" customHeight="1" x14ac:dyDescent="0.3">
      <c r="C89" s="24" t="str">
        <f>IF(OR(Tabela2[[#This Row],[PROTOCOLAR]]="",Tabela2[[#This Row],[CONTA CONTRATO]]=""),"",IF(Tabela2[[#This Row],[PROTOCOLAR]]="NAO","PESSOA FISICA","PESSOA JURIDICA"))</f>
        <v/>
      </c>
      <c r="D89" s="25"/>
      <c r="E89" s="25"/>
      <c r="F89" s="25"/>
      <c r="G89" s="25"/>
    </row>
    <row r="90" spans="3:7" ht="17.100000000000001" customHeight="1" x14ac:dyDescent="0.3">
      <c r="C90" s="24" t="str">
        <f>IF(OR(Tabela2[[#This Row],[PROTOCOLAR]]="",Tabela2[[#This Row],[CONTA CONTRATO]]=""),"",IF(Tabela2[[#This Row],[PROTOCOLAR]]="NAO","PESSOA FISICA","PESSOA JURIDICA"))</f>
        <v/>
      </c>
      <c r="D90" s="25"/>
      <c r="E90" s="25"/>
      <c r="F90" s="25"/>
      <c r="G90" s="25"/>
    </row>
    <row r="91" spans="3:7" ht="17.100000000000001" customHeight="1" x14ac:dyDescent="0.3">
      <c r="C91" s="24" t="str">
        <f>IF(OR(Tabela2[[#This Row],[PROTOCOLAR]]="",Tabela2[[#This Row],[CONTA CONTRATO]]=""),"",IF(Tabela2[[#This Row],[PROTOCOLAR]]="NAO","PESSOA FISICA","PESSOA JURIDICA"))</f>
        <v/>
      </c>
      <c r="D91" s="25"/>
      <c r="E91" s="25"/>
      <c r="F91" s="25"/>
      <c r="G91" s="25"/>
    </row>
    <row r="92" spans="3:7" ht="17.100000000000001" customHeight="1" x14ac:dyDescent="0.3">
      <c r="C92" s="24" t="str">
        <f>IF(OR(Tabela2[[#This Row],[PROTOCOLAR]]="",Tabela2[[#This Row],[CONTA CONTRATO]]=""),"",IF(Tabela2[[#This Row],[PROTOCOLAR]]="NAO","PESSOA FISICA","PESSOA JURIDICA"))</f>
        <v/>
      </c>
      <c r="D92" s="25"/>
      <c r="E92" s="25"/>
      <c r="F92" s="25"/>
      <c r="G92" s="25"/>
    </row>
    <row r="93" spans="3:7" ht="17.100000000000001" customHeight="1" x14ac:dyDescent="0.3">
      <c r="C93" s="24" t="str">
        <f>IF(OR(Tabela2[[#This Row],[PROTOCOLAR]]="",Tabela2[[#This Row],[CONTA CONTRATO]]=""),"",IF(Tabela2[[#This Row],[PROTOCOLAR]]="NAO","PESSOA FISICA","PESSOA JURIDICA"))</f>
        <v/>
      </c>
      <c r="D93" s="25"/>
      <c r="E93" s="25"/>
      <c r="F93" s="25"/>
      <c r="G93" s="25"/>
    </row>
    <row r="94" spans="3:7" ht="17.100000000000001" customHeight="1" x14ac:dyDescent="0.3">
      <c r="C94" s="24" t="str">
        <f>IF(OR(Tabela2[[#This Row],[PROTOCOLAR]]="",Tabela2[[#This Row],[CONTA CONTRATO]]=""),"",IF(Tabela2[[#This Row],[PROTOCOLAR]]="NAO","PESSOA FISICA","PESSOA JURIDICA"))</f>
        <v/>
      </c>
      <c r="D94" s="25"/>
      <c r="E94" s="25"/>
      <c r="F94" s="25"/>
      <c r="G94" s="25"/>
    </row>
    <row r="95" spans="3:7" ht="17.100000000000001" customHeight="1" x14ac:dyDescent="0.3">
      <c r="C95" s="24" t="str">
        <f>IF(OR(Tabela2[[#This Row],[PROTOCOLAR]]="",Tabela2[[#This Row],[CONTA CONTRATO]]=""),"",IF(Tabela2[[#This Row],[PROTOCOLAR]]="NAO","PESSOA FISICA","PESSOA JURIDICA"))</f>
        <v/>
      </c>
      <c r="D95" s="25"/>
      <c r="E95" s="25"/>
      <c r="F95" s="25"/>
      <c r="G95" s="25"/>
    </row>
    <row r="96" spans="3:7" ht="17.100000000000001" customHeight="1" x14ac:dyDescent="0.3">
      <c r="C96" s="24" t="str">
        <f>IF(OR(Tabela2[[#This Row],[PROTOCOLAR]]="",Tabela2[[#This Row],[CONTA CONTRATO]]=""),"",IF(Tabela2[[#This Row],[PROTOCOLAR]]="NAO","PESSOA FISICA","PESSOA JURIDICA"))</f>
        <v/>
      </c>
      <c r="D96" s="25"/>
      <c r="E96" s="25"/>
      <c r="F96" s="25"/>
      <c r="G96" s="25"/>
    </row>
    <row r="97" spans="3:7" ht="17.100000000000001" customHeight="1" x14ac:dyDescent="0.3">
      <c r="C97" s="24" t="str">
        <f>IF(OR(Tabela2[[#This Row],[PROTOCOLAR]]="",Tabela2[[#This Row],[CONTA CONTRATO]]=""),"",IF(Tabela2[[#This Row],[PROTOCOLAR]]="NAO","PESSOA FISICA","PESSOA JURIDICA"))</f>
        <v/>
      </c>
      <c r="D97" s="25"/>
      <c r="E97" s="25"/>
      <c r="F97" s="25"/>
      <c r="G97" s="25"/>
    </row>
    <row r="98" spans="3:7" ht="17.100000000000001" customHeight="1" x14ac:dyDescent="0.3">
      <c r="C98" s="24" t="str">
        <f>IF(OR(Tabela2[[#This Row],[PROTOCOLAR]]="",Tabela2[[#This Row],[CONTA CONTRATO]]=""),"",IF(Tabela2[[#This Row],[PROTOCOLAR]]="NAO","PESSOA FISICA","PESSOA JURIDICA"))</f>
        <v/>
      </c>
      <c r="D98" s="25"/>
      <c r="E98" s="25"/>
      <c r="F98" s="25"/>
      <c r="G98" s="25"/>
    </row>
    <row r="99" spans="3:7" ht="17.100000000000001" customHeight="1" x14ac:dyDescent="0.3">
      <c r="C99" s="24" t="str">
        <f>IF(OR(Tabela2[[#This Row],[PROTOCOLAR]]="",Tabela2[[#This Row],[CONTA CONTRATO]]=""),"",IF(Tabela2[[#This Row],[PROTOCOLAR]]="NAO","PESSOA FISICA","PESSOA JURIDICA"))</f>
        <v/>
      </c>
      <c r="D99" s="25"/>
      <c r="E99" s="25"/>
      <c r="F99" s="25"/>
      <c r="G99" s="25"/>
    </row>
    <row r="100" spans="3:7" ht="17.100000000000001" customHeight="1" x14ac:dyDescent="0.3">
      <c r="C100" s="24" t="str">
        <f>IF(OR(Tabela2[[#This Row],[PROTOCOLAR]]="",Tabela2[[#This Row],[CONTA CONTRATO]]=""),"",IF(Tabela2[[#This Row],[PROTOCOLAR]]="NAO","PESSOA FISICA","PESSOA JURIDICA"))</f>
        <v/>
      </c>
      <c r="D100" s="25"/>
      <c r="E100" s="25"/>
      <c r="F100" s="25"/>
      <c r="G100" s="25"/>
    </row>
    <row r="101" spans="3:7" ht="17.100000000000001" customHeight="1" x14ac:dyDescent="0.3">
      <c r="C101" s="24" t="str">
        <f>IF(OR(Tabela2[[#This Row],[PROTOCOLAR]]="",Tabela2[[#This Row],[CONTA CONTRATO]]=""),"",IF(Tabela2[[#This Row],[PROTOCOLAR]]="NAO","PESSOA FISICA","PESSOA JURIDICA"))</f>
        <v/>
      </c>
      <c r="D101" s="25"/>
      <c r="E101" s="25"/>
      <c r="F101" s="25"/>
      <c r="G101" s="25"/>
    </row>
    <row r="102" spans="3:7" ht="17.100000000000001" customHeight="1" x14ac:dyDescent="0.3">
      <c r="C102" s="24" t="str">
        <f>IF(OR(Tabela2[[#This Row],[PROTOCOLAR]]="",Tabela2[[#This Row],[CONTA CONTRATO]]=""),"",IF(Tabela2[[#This Row],[PROTOCOLAR]]="NAO","PESSOA FISICA","PESSOA JURIDICA"))</f>
        <v/>
      </c>
      <c r="D102" s="25"/>
      <c r="E102" s="25"/>
      <c r="F102" s="25"/>
      <c r="G102" s="25"/>
    </row>
    <row r="103" spans="3:7" ht="17.100000000000001" customHeight="1" x14ac:dyDescent="0.3">
      <c r="C103" s="24" t="str">
        <f>IF(OR(Tabela2[[#This Row],[PROTOCOLAR]]="",Tabela2[[#This Row],[CONTA CONTRATO]]=""),"",IF(Tabela2[[#This Row],[PROTOCOLAR]]="NAO","PESSOA FISICA","PESSOA JURIDICA"))</f>
        <v/>
      </c>
      <c r="D103" s="25"/>
      <c r="E103" s="25"/>
      <c r="F103" s="25"/>
      <c r="G103" s="25"/>
    </row>
    <row r="104" spans="3:7" ht="17.100000000000001" customHeight="1" x14ac:dyDescent="0.3">
      <c r="C104" s="24" t="str">
        <f>IF(OR(Tabela2[[#This Row],[PROTOCOLAR]]="",Tabela2[[#This Row],[CONTA CONTRATO]]=""),"",IF(Tabela2[[#This Row],[PROTOCOLAR]]="NAO","PESSOA FISICA","PESSOA JURIDICA"))</f>
        <v/>
      </c>
      <c r="D104" s="25"/>
      <c r="E104" s="25"/>
      <c r="F104" s="25"/>
      <c r="G104" s="25"/>
    </row>
    <row r="105" spans="3:7" ht="17.100000000000001" customHeight="1" x14ac:dyDescent="0.3">
      <c r="C105" s="24" t="str">
        <f>IF(OR(Tabela2[[#This Row],[PROTOCOLAR]]="",Tabela2[[#This Row],[CONTA CONTRATO]]=""),"",IF(Tabela2[[#This Row],[PROTOCOLAR]]="NAO","PESSOA FISICA","PESSOA JURIDICA"))</f>
        <v/>
      </c>
      <c r="D105" s="25"/>
      <c r="E105" s="25"/>
      <c r="F105" s="25"/>
      <c r="G105" s="25"/>
    </row>
    <row r="106" spans="3:7" ht="17.100000000000001" customHeight="1" x14ac:dyDescent="0.3">
      <c r="C106" s="24" t="str">
        <f>IF(OR(Tabela2[[#This Row],[PROTOCOLAR]]="",Tabela2[[#This Row],[CONTA CONTRATO]]=""),"",IF(Tabela2[[#This Row],[PROTOCOLAR]]="NAO","PESSOA FISICA","PESSOA JURIDICA"))</f>
        <v/>
      </c>
      <c r="D106" s="25"/>
      <c r="E106" s="25"/>
      <c r="F106" s="25"/>
      <c r="G106" s="25"/>
    </row>
    <row r="107" spans="3:7" ht="17.100000000000001" customHeight="1" x14ac:dyDescent="0.3">
      <c r="C107" s="24" t="str">
        <f>IF(OR(Tabela2[[#This Row],[PROTOCOLAR]]="",Tabela2[[#This Row],[CONTA CONTRATO]]=""),"",IF(Tabela2[[#This Row],[PROTOCOLAR]]="NAO","PESSOA FISICA","PESSOA JURIDICA"))</f>
        <v/>
      </c>
      <c r="D107" s="25"/>
      <c r="E107" s="25"/>
      <c r="F107" s="25"/>
      <c r="G107" s="25"/>
    </row>
    <row r="108" spans="3:7" ht="17.100000000000001" customHeight="1" x14ac:dyDescent="0.3">
      <c r="C108" s="24" t="str">
        <f>IF(OR(Tabela2[[#This Row],[PROTOCOLAR]]="",Tabela2[[#This Row],[CONTA CONTRATO]]=""),"",IF(Tabela2[[#This Row],[PROTOCOLAR]]="NAO","PESSOA FISICA","PESSOA JURIDICA"))</f>
        <v/>
      </c>
      <c r="D108" s="25"/>
      <c r="E108" s="25"/>
      <c r="F108" s="25"/>
      <c r="G108" s="25"/>
    </row>
    <row r="109" spans="3:7" ht="17.100000000000001" customHeight="1" x14ac:dyDescent="0.3">
      <c r="C109" s="24" t="str">
        <f>IF(OR(Tabela2[[#This Row],[PROTOCOLAR]]="",Tabela2[[#This Row],[CONTA CONTRATO]]=""),"",IF(Tabela2[[#This Row],[PROTOCOLAR]]="NAO","PESSOA FISICA","PESSOA JURIDICA"))</f>
        <v/>
      </c>
      <c r="D109" s="25"/>
      <c r="E109" s="25"/>
      <c r="F109" s="25"/>
      <c r="G109" s="25"/>
    </row>
    <row r="110" spans="3:7" ht="17.100000000000001" customHeight="1" x14ac:dyDescent="0.3">
      <c r="C110" s="24" t="str">
        <f>IF(OR(Tabela2[[#This Row],[PROTOCOLAR]]="",Tabela2[[#This Row],[CONTA CONTRATO]]=""),"",IF(Tabela2[[#This Row],[PROTOCOLAR]]="NAO","PESSOA FISICA","PESSOA JURIDICA"))</f>
        <v/>
      </c>
      <c r="D110" s="25"/>
      <c r="E110" s="25"/>
      <c r="F110" s="25"/>
      <c r="G110" s="25"/>
    </row>
    <row r="111" spans="3:7" ht="17.100000000000001" customHeight="1" x14ac:dyDescent="0.3">
      <c r="C111" s="24" t="str">
        <f>IF(OR(Tabela2[[#This Row],[PROTOCOLAR]]="",Tabela2[[#This Row],[CONTA CONTRATO]]=""),"",IF(Tabela2[[#This Row],[PROTOCOLAR]]="NAO","PESSOA FISICA","PESSOA JURIDICA"))</f>
        <v/>
      </c>
      <c r="D111" s="25"/>
      <c r="E111" s="25"/>
      <c r="F111" s="25"/>
      <c r="G111" s="25"/>
    </row>
    <row r="112" spans="3:7" ht="17.100000000000001" customHeight="1" x14ac:dyDescent="0.3">
      <c r="C112" s="24" t="str">
        <f>IF(OR(Tabela2[[#This Row],[PROTOCOLAR]]="",Tabela2[[#This Row],[CONTA CONTRATO]]=""),"",IF(Tabela2[[#This Row],[PROTOCOLAR]]="NAO","PESSOA FISICA","PESSOA JURIDICA"))</f>
        <v/>
      </c>
      <c r="D112" s="25"/>
      <c r="E112" s="25"/>
      <c r="F112" s="25"/>
      <c r="G112" s="25"/>
    </row>
    <row r="113" spans="3:7" ht="17.100000000000001" customHeight="1" x14ac:dyDescent="0.3">
      <c r="C113" s="24" t="str">
        <f>IF(OR(Tabela2[[#This Row],[PROTOCOLAR]]="",Tabela2[[#This Row],[CONTA CONTRATO]]=""),"",IF(Tabela2[[#This Row],[PROTOCOLAR]]="NAO","PESSOA FISICA","PESSOA JURIDICA"))</f>
        <v/>
      </c>
      <c r="D113" s="25"/>
      <c r="E113" s="25"/>
      <c r="F113" s="25"/>
      <c r="G113" s="25"/>
    </row>
    <row r="114" spans="3:7" ht="17.100000000000001" customHeight="1" x14ac:dyDescent="0.3">
      <c r="C114" s="24" t="str">
        <f>IF(OR(Tabela2[[#This Row],[PROTOCOLAR]]="",Tabela2[[#This Row],[CONTA CONTRATO]]=""),"",IF(Tabela2[[#This Row],[PROTOCOLAR]]="NAO","PESSOA FISICA","PESSOA JURIDICA"))</f>
        <v/>
      </c>
      <c r="D114" s="25"/>
      <c r="E114" s="25"/>
      <c r="F114" s="25"/>
      <c r="G114" s="25"/>
    </row>
    <row r="115" spans="3:7" ht="17.100000000000001" customHeight="1" x14ac:dyDescent="0.3">
      <c r="C115" s="24" t="str">
        <f>IF(OR(Tabela2[[#This Row],[PROTOCOLAR]]="",Tabela2[[#This Row],[CONTA CONTRATO]]=""),"",IF(Tabela2[[#This Row],[PROTOCOLAR]]="NAO","PESSOA FISICA","PESSOA JURIDICA"))</f>
        <v/>
      </c>
      <c r="D115" s="25"/>
      <c r="E115" s="25"/>
      <c r="F115" s="25"/>
      <c r="G115" s="25"/>
    </row>
    <row r="116" spans="3:7" ht="17.100000000000001" customHeight="1" x14ac:dyDescent="0.3">
      <c r="C116" s="24" t="str">
        <f>IF(OR(Tabela2[[#This Row],[PROTOCOLAR]]="",Tabela2[[#This Row],[CONTA CONTRATO]]=""),"",IF(Tabela2[[#This Row],[PROTOCOLAR]]="NAO","PESSOA FISICA","PESSOA JURIDICA"))</f>
        <v/>
      </c>
      <c r="D116" s="25"/>
      <c r="E116" s="25"/>
      <c r="F116" s="25"/>
      <c r="G116" s="25"/>
    </row>
    <row r="117" spans="3:7" ht="17.100000000000001" customHeight="1" x14ac:dyDescent="0.3">
      <c r="C117" s="24" t="str">
        <f>IF(OR(Tabela2[[#This Row],[PROTOCOLAR]]="",Tabela2[[#This Row],[CONTA CONTRATO]]=""),"",IF(Tabela2[[#This Row],[PROTOCOLAR]]="NAO","PESSOA FISICA","PESSOA JURIDICA"))</f>
        <v/>
      </c>
      <c r="D117" s="25"/>
      <c r="E117" s="25"/>
      <c r="F117" s="25"/>
      <c r="G117" s="25"/>
    </row>
    <row r="118" spans="3:7" ht="17.100000000000001" customHeight="1" x14ac:dyDescent="0.3">
      <c r="C118" s="24" t="str">
        <f>IF(OR(Tabela2[[#This Row],[PROTOCOLAR]]="",Tabela2[[#This Row],[CONTA CONTRATO]]=""),"",IF(Tabela2[[#This Row],[PROTOCOLAR]]="NAO","PESSOA FISICA","PESSOA JURIDICA"))</f>
        <v/>
      </c>
      <c r="D118" s="25"/>
      <c r="E118" s="25"/>
      <c r="F118" s="25"/>
      <c r="G118" s="25"/>
    </row>
    <row r="119" spans="3:7" ht="17.100000000000001" customHeight="1" x14ac:dyDescent="0.3">
      <c r="C119" s="24" t="str">
        <f>IF(OR(Tabela2[[#This Row],[PROTOCOLAR]]="",Tabela2[[#This Row],[CONTA CONTRATO]]=""),"",IF(Tabela2[[#This Row],[PROTOCOLAR]]="NAO","PESSOA FISICA","PESSOA JURIDICA"))</f>
        <v/>
      </c>
      <c r="D119" s="25"/>
      <c r="E119" s="25"/>
      <c r="F119" s="25"/>
      <c r="G119" s="25"/>
    </row>
    <row r="120" spans="3:7" ht="17.100000000000001" customHeight="1" x14ac:dyDescent="0.3">
      <c r="C120" s="24" t="str">
        <f>IF(OR(Tabela2[[#This Row],[PROTOCOLAR]]="",Tabela2[[#This Row],[CONTA CONTRATO]]=""),"",IF(Tabela2[[#This Row],[PROTOCOLAR]]="NAO","PESSOA FISICA","PESSOA JURIDICA"))</f>
        <v/>
      </c>
      <c r="D120" s="25"/>
      <c r="E120" s="25"/>
      <c r="F120" s="25"/>
      <c r="G120" s="25"/>
    </row>
    <row r="121" spans="3:7" ht="17.100000000000001" customHeight="1" x14ac:dyDescent="0.3">
      <c r="C121" s="24" t="str">
        <f>IF(OR(Tabela2[[#This Row],[PROTOCOLAR]]="",Tabela2[[#This Row],[CONTA CONTRATO]]=""),"",IF(Tabela2[[#This Row],[PROTOCOLAR]]="NAO","PESSOA FISICA","PESSOA JURIDICA"))</f>
        <v/>
      </c>
      <c r="D121" s="25"/>
      <c r="E121" s="25"/>
      <c r="F121" s="25"/>
      <c r="G121" s="25"/>
    </row>
    <row r="122" spans="3:7" ht="17.100000000000001" customHeight="1" x14ac:dyDescent="0.3">
      <c r="C122" s="24" t="str">
        <f>IF(OR(Tabela2[[#This Row],[PROTOCOLAR]]="",Tabela2[[#This Row],[CONTA CONTRATO]]=""),"",IF(Tabela2[[#This Row],[PROTOCOLAR]]="NAO","PESSOA FISICA","PESSOA JURIDICA"))</f>
        <v/>
      </c>
      <c r="D122" s="25"/>
      <c r="E122" s="25"/>
      <c r="F122" s="25"/>
      <c r="G122" s="25"/>
    </row>
    <row r="123" spans="3:7" ht="17.100000000000001" customHeight="1" x14ac:dyDescent="0.3">
      <c r="C123" s="24" t="str">
        <f>IF(OR(Tabela2[[#This Row],[PROTOCOLAR]]="",Tabela2[[#This Row],[CONTA CONTRATO]]=""),"",IF(Tabela2[[#This Row],[PROTOCOLAR]]="NAO","PESSOA FISICA","PESSOA JURIDICA"))</f>
        <v/>
      </c>
      <c r="D123" s="25"/>
      <c r="E123" s="25"/>
      <c r="F123" s="25"/>
      <c r="G123" s="25"/>
    </row>
    <row r="124" spans="3:7" ht="17.100000000000001" customHeight="1" x14ac:dyDescent="0.3">
      <c r="C124" s="24" t="str">
        <f>IF(OR(Tabela2[[#This Row],[PROTOCOLAR]]="",Tabela2[[#This Row],[CONTA CONTRATO]]=""),"",IF(Tabela2[[#This Row],[PROTOCOLAR]]="NAO","PESSOA FISICA","PESSOA JURIDICA"))</f>
        <v/>
      </c>
      <c r="D124" s="25"/>
      <c r="E124" s="25"/>
      <c r="F124" s="25"/>
      <c r="G124" s="25"/>
    </row>
    <row r="125" spans="3:7" ht="17.100000000000001" customHeight="1" x14ac:dyDescent="0.3">
      <c r="C125" s="24" t="str">
        <f>IF(OR(Tabela2[[#This Row],[PROTOCOLAR]]="",Tabela2[[#This Row],[CONTA CONTRATO]]=""),"",IF(Tabela2[[#This Row],[PROTOCOLAR]]="NAO","PESSOA FISICA","PESSOA JURIDICA"))</f>
        <v/>
      </c>
      <c r="D125" s="25"/>
      <c r="E125" s="25"/>
      <c r="F125" s="25"/>
      <c r="G125" s="25"/>
    </row>
    <row r="126" spans="3:7" ht="17.100000000000001" customHeight="1" x14ac:dyDescent="0.3">
      <c r="C126" s="24" t="str">
        <f>IF(OR(Tabela2[[#This Row],[PROTOCOLAR]]="",Tabela2[[#This Row],[CONTA CONTRATO]]=""),"",IF(Tabela2[[#This Row],[PROTOCOLAR]]="NAO","PESSOA FISICA","PESSOA JURIDICA"))</f>
        <v/>
      </c>
      <c r="D126" s="25"/>
      <c r="E126" s="25"/>
      <c r="F126" s="25"/>
      <c r="G126" s="25"/>
    </row>
  </sheetData>
  <sheetProtection selectLockedCells="1"/>
  <mergeCells count="4">
    <mergeCell ref="D1:D2"/>
    <mergeCell ref="E1:E2"/>
    <mergeCell ref="F1:F2"/>
    <mergeCell ref="G1:G2"/>
  </mergeCells>
  <phoneticPr fontId="18" type="noConversion"/>
  <dataValidations count="1">
    <dataValidation type="list" allowBlank="1" showInputMessage="1" showErrorMessage="1" sqref="G4:G126" xr:uid="{AAEE5A4C-6452-440A-92CB-8CCBD6B6DD2E}">
      <formula1>"SIM,NAO"</formula1>
    </dataValidation>
  </dataValidations>
  <pageMargins left="0.511811024" right="0.511811024" top="1.3474015750000001" bottom="0.78740157499999996" header="0.31496062000000002" footer="0.31496062000000002"/>
  <pageSetup paperSize="9" scale="76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O1048564"/>
  <sheetViews>
    <sheetView showGridLines="0" zoomScale="85" zoomScaleNormal="85" workbookViewId="0">
      <pane ySplit="1" topLeftCell="A279" activePane="bottomLeft" state="frozen"/>
      <selection pane="bottomLeft" activeCell="I294" sqref="I294"/>
    </sheetView>
  </sheetViews>
  <sheetFormatPr defaultColWidth="9.109375" defaultRowHeight="17.100000000000001" customHeight="1" x14ac:dyDescent="0.3"/>
  <cols>
    <col min="1" max="1" width="24.88671875" style="1" bestFit="1" customWidth="1"/>
    <col min="2" max="2" width="7.5546875" style="1" bestFit="1" customWidth="1"/>
    <col min="3" max="3" width="13" style="1" bestFit="1" customWidth="1"/>
    <col min="4" max="4" width="7.44140625" style="1" bestFit="1" customWidth="1"/>
    <col min="5" max="5" width="13.44140625" style="1" bestFit="1" customWidth="1"/>
    <col min="6" max="6" width="10.44140625" style="1" bestFit="1" customWidth="1"/>
    <col min="7" max="8" width="11" style="1" bestFit="1" customWidth="1"/>
    <col min="9" max="9" width="41.88671875" style="1" bestFit="1" customWidth="1"/>
    <col min="10" max="10" width="10.109375" style="1" bestFit="1" customWidth="1"/>
    <col min="11" max="11" width="11.44140625" style="1" bestFit="1" customWidth="1"/>
    <col min="12" max="12" width="13.5546875" style="1" bestFit="1" customWidth="1"/>
    <col min="13" max="13" width="41" style="1" bestFit="1" customWidth="1"/>
    <col min="14" max="14" width="41.88671875" style="1" bestFit="1" customWidth="1"/>
    <col min="15" max="15" width="14.5546875" style="1" bestFit="1" customWidth="1"/>
    <col min="16" max="16" width="5" style="1" bestFit="1" customWidth="1"/>
    <col min="17" max="16384" width="9.109375" style="1"/>
  </cols>
  <sheetData>
    <row r="1" spans="1:15" ht="17.100000000000001" customHeight="1" x14ac:dyDescent="0.3">
      <c r="A1" s="13" t="s">
        <v>146</v>
      </c>
      <c r="B1" s="13" t="s">
        <v>21</v>
      </c>
      <c r="C1" s="13" t="s">
        <v>22</v>
      </c>
      <c r="D1" s="13" t="s">
        <v>23</v>
      </c>
      <c r="E1" s="13" t="s">
        <v>24</v>
      </c>
      <c r="F1" s="13" t="s">
        <v>25</v>
      </c>
      <c r="G1" s="13" t="s">
        <v>26</v>
      </c>
      <c r="H1" s="13" t="s">
        <v>27</v>
      </c>
      <c r="I1" s="13" t="s">
        <v>28</v>
      </c>
      <c r="J1" s="13" t="s">
        <v>8</v>
      </c>
      <c r="K1" s="13" t="s">
        <v>29</v>
      </c>
      <c r="L1" s="13" t="s">
        <v>30</v>
      </c>
      <c r="M1" s="13" t="s">
        <v>37</v>
      </c>
      <c r="N1" s="13" t="s">
        <v>38</v>
      </c>
      <c r="O1" s="13" t="s">
        <v>60</v>
      </c>
    </row>
    <row r="2" spans="1:15" ht="17.100000000000001" customHeight="1" x14ac:dyDescent="0.3">
      <c r="A2" s="3" t="str">
        <f>C2&amp;O2</f>
        <v>4600024692S/ PROTOCOLO</v>
      </c>
      <c r="B2" s="14" t="s">
        <v>33</v>
      </c>
      <c r="C2" s="14">
        <v>4600024692</v>
      </c>
      <c r="D2" s="14">
        <v>10</v>
      </c>
      <c r="E2" s="14">
        <v>4700980</v>
      </c>
      <c r="F2" s="14">
        <v>2550</v>
      </c>
      <c r="G2" s="14" t="s">
        <v>32</v>
      </c>
      <c r="H2" s="14">
        <v>5024000070</v>
      </c>
      <c r="I2" s="14" t="s">
        <v>75</v>
      </c>
      <c r="J2" s="14" t="s">
        <v>76</v>
      </c>
      <c r="K2" s="15">
        <v>45660</v>
      </c>
      <c r="L2" s="16">
        <v>5.93</v>
      </c>
      <c r="M2" s="3" t="s">
        <v>47</v>
      </c>
      <c r="N2" s="3" t="s">
        <v>145</v>
      </c>
      <c r="O2" s="1" t="s">
        <v>69</v>
      </c>
    </row>
    <row r="3" spans="1:15" ht="17.100000000000001" customHeight="1" x14ac:dyDescent="0.3">
      <c r="A3" s="3" t="str">
        <f t="shared" ref="A3:A66" si="0">C3&amp;O3</f>
        <v>4600024693S/ PROTOCOLO</v>
      </c>
      <c r="B3" s="14" t="s">
        <v>33</v>
      </c>
      <c r="C3" s="14">
        <v>4600024693</v>
      </c>
      <c r="D3" s="14">
        <v>10</v>
      </c>
      <c r="E3" s="14">
        <v>4701044</v>
      </c>
      <c r="F3" s="14">
        <v>2550</v>
      </c>
      <c r="G3" s="14" t="s">
        <v>32</v>
      </c>
      <c r="H3" s="14">
        <v>5024000070</v>
      </c>
      <c r="I3" s="14" t="s">
        <v>75</v>
      </c>
      <c r="J3" s="14" t="s">
        <v>76</v>
      </c>
      <c r="K3" s="15">
        <v>45660</v>
      </c>
      <c r="L3" s="16">
        <v>5.57</v>
      </c>
      <c r="M3" s="1" t="s">
        <v>47</v>
      </c>
      <c r="N3" s="3" t="s">
        <v>145</v>
      </c>
      <c r="O3" s="1" t="s">
        <v>69</v>
      </c>
    </row>
    <row r="4" spans="1:15" ht="17.100000000000001" customHeight="1" x14ac:dyDescent="0.3">
      <c r="A4" s="3" t="str">
        <f t="shared" si="0"/>
        <v>4600025394S/ PROTOCOLO</v>
      </c>
      <c r="B4" s="14" t="s">
        <v>33</v>
      </c>
      <c r="C4" s="14">
        <v>4600025394</v>
      </c>
      <c r="D4" s="14">
        <v>10</v>
      </c>
      <c r="E4" s="14">
        <v>4709594</v>
      </c>
      <c r="F4" s="14">
        <v>2570</v>
      </c>
      <c r="G4" s="14" t="s">
        <v>32</v>
      </c>
      <c r="H4" s="14">
        <v>5024000070</v>
      </c>
      <c r="I4" s="14" t="s">
        <v>75</v>
      </c>
      <c r="J4" s="14" t="s">
        <v>76</v>
      </c>
      <c r="K4" s="15">
        <v>45708</v>
      </c>
      <c r="L4" s="16">
        <v>6.59</v>
      </c>
      <c r="M4" s="1" t="s">
        <v>82</v>
      </c>
      <c r="N4" s="3" t="s">
        <v>145</v>
      </c>
      <c r="O4" s="1" t="s">
        <v>69</v>
      </c>
    </row>
    <row r="5" spans="1:15" ht="17.100000000000001" customHeight="1" x14ac:dyDescent="0.3">
      <c r="A5" s="3" t="str">
        <f t="shared" si="0"/>
        <v>4600025343S/ PROTOCOLO</v>
      </c>
      <c r="B5" s="14" t="s">
        <v>33</v>
      </c>
      <c r="C5" s="14">
        <v>4600025343</v>
      </c>
      <c r="D5" s="14">
        <v>10</v>
      </c>
      <c r="E5" s="14">
        <v>3001425</v>
      </c>
      <c r="F5" s="14">
        <v>2600</v>
      </c>
      <c r="G5" s="14" t="s">
        <v>32</v>
      </c>
      <c r="H5" s="14">
        <v>5024000070</v>
      </c>
      <c r="I5" s="14" t="s">
        <v>75</v>
      </c>
      <c r="J5" s="14" t="s">
        <v>76</v>
      </c>
      <c r="K5" s="15">
        <v>45702</v>
      </c>
      <c r="L5" s="16">
        <v>4.45</v>
      </c>
      <c r="M5" s="1" t="s">
        <v>57</v>
      </c>
      <c r="N5" s="3" t="s">
        <v>44</v>
      </c>
      <c r="O5" s="1" t="s">
        <v>69</v>
      </c>
    </row>
    <row r="6" spans="1:15" ht="17.100000000000001" customHeight="1" x14ac:dyDescent="0.3">
      <c r="A6" s="3" t="str">
        <f t="shared" si="0"/>
        <v>4600025405S/ PROTOCOLO</v>
      </c>
      <c r="B6" s="14" t="s">
        <v>33</v>
      </c>
      <c r="C6" s="14">
        <v>4600025405</v>
      </c>
      <c r="D6" s="14">
        <v>10</v>
      </c>
      <c r="E6" s="14">
        <v>4706893</v>
      </c>
      <c r="F6" s="14">
        <v>2600</v>
      </c>
      <c r="G6" s="14" t="s">
        <v>32</v>
      </c>
      <c r="H6" s="14">
        <v>5024000070</v>
      </c>
      <c r="I6" s="14" t="s">
        <v>75</v>
      </c>
      <c r="J6" s="14" t="s">
        <v>76</v>
      </c>
      <c r="K6" s="15">
        <v>45709</v>
      </c>
      <c r="L6" s="16">
        <v>4.46</v>
      </c>
      <c r="M6" s="1" t="s">
        <v>53</v>
      </c>
      <c r="N6" s="3" t="s">
        <v>45</v>
      </c>
      <c r="O6" s="1" t="s">
        <v>69</v>
      </c>
    </row>
    <row r="7" spans="1:15" ht="17.100000000000001" customHeight="1" x14ac:dyDescent="0.3">
      <c r="A7" s="3" t="str">
        <f t="shared" si="0"/>
        <v>4600024692C/ PROTOCOLO</v>
      </c>
      <c r="B7" s="14" t="s">
        <v>33</v>
      </c>
      <c r="C7" s="14">
        <v>4600024692</v>
      </c>
      <c r="D7" s="14">
        <v>10</v>
      </c>
      <c r="E7" s="14">
        <v>4700980</v>
      </c>
      <c r="F7" s="14">
        <v>2560</v>
      </c>
      <c r="G7" s="14" t="s">
        <v>32</v>
      </c>
      <c r="H7" s="14">
        <v>5024000071</v>
      </c>
      <c r="I7" s="14" t="s">
        <v>77</v>
      </c>
      <c r="J7" s="14" t="s">
        <v>76</v>
      </c>
      <c r="K7" s="15">
        <v>45660</v>
      </c>
      <c r="L7" s="16">
        <v>6.93</v>
      </c>
      <c r="M7" s="1" t="s">
        <v>47</v>
      </c>
      <c r="N7" s="3" t="s">
        <v>145</v>
      </c>
      <c r="O7" s="1" t="s">
        <v>70</v>
      </c>
    </row>
    <row r="8" spans="1:15" ht="17.100000000000001" customHeight="1" x14ac:dyDescent="0.3">
      <c r="A8" s="3" t="str">
        <f t="shared" si="0"/>
        <v>4600024693C/ PROTOCOLO</v>
      </c>
      <c r="B8" s="14" t="s">
        <v>33</v>
      </c>
      <c r="C8" s="14">
        <v>4600024693</v>
      </c>
      <c r="D8" s="14">
        <v>10</v>
      </c>
      <c r="E8" s="14">
        <v>4701044</v>
      </c>
      <c r="F8" s="14">
        <v>2560</v>
      </c>
      <c r="G8" s="14" t="s">
        <v>32</v>
      </c>
      <c r="H8" s="14">
        <v>5024000071</v>
      </c>
      <c r="I8" s="14" t="s">
        <v>77</v>
      </c>
      <c r="J8" s="14" t="s">
        <v>76</v>
      </c>
      <c r="K8" s="15">
        <v>45660</v>
      </c>
      <c r="L8" s="16">
        <v>6.52</v>
      </c>
      <c r="M8" s="1" t="s">
        <v>47</v>
      </c>
      <c r="N8" s="3" t="s">
        <v>145</v>
      </c>
      <c r="O8" s="1" t="s">
        <v>70</v>
      </c>
    </row>
    <row r="9" spans="1:15" ht="17.100000000000001" customHeight="1" x14ac:dyDescent="0.3">
      <c r="A9" s="3" t="str">
        <f t="shared" si="0"/>
        <v>4600025394C/ PROTOCOLO</v>
      </c>
      <c r="B9" s="14" t="s">
        <v>33</v>
      </c>
      <c r="C9" s="14">
        <v>4600025394</v>
      </c>
      <c r="D9" s="14">
        <v>10</v>
      </c>
      <c r="E9" s="14">
        <v>4709594</v>
      </c>
      <c r="F9" s="14">
        <v>2580</v>
      </c>
      <c r="G9" s="14" t="s">
        <v>32</v>
      </c>
      <c r="H9" s="14">
        <v>5024000071</v>
      </c>
      <c r="I9" s="14" t="s">
        <v>77</v>
      </c>
      <c r="J9" s="14" t="s">
        <v>76</v>
      </c>
      <c r="K9" s="15">
        <v>45708</v>
      </c>
      <c r="L9" s="16">
        <v>7.71</v>
      </c>
      <c r="M9" s="1" t="s">
        <v>82</v>
      </c>
      <c r="N9" s="3" t="s">
        <v>145</v>
      </c>
      <c r="O9" s="1" t="s">
        <v>70</v>
      </c>
    </row>
    <row r="10" spans="1:15" ht="17.100000000000001" customHeight="1" x14ac:dyDescent="0.3">
      <c r="A10" s="3" t="str">
        <f t="shared" si="0"/>
        <v>4600025343C/ PROTOCOLO</v>
      </c>
      <c r="B10" s="14" t="s">
        <v>33</v>
      </c>
      <c r="C10" s="14">
        <v>4600025343</v>
      </c>
      <c r="D10" s="14">
        <v>10</v>
      </c>
      <c r="E10" s="14">
        <v>3001425</v>
      </c>
      <c r="F10" s="14">
        <v>2610</v>
      </c>
      <c r="G10" s="14" t="s">
        <v>32</v>
      </c>
      <c r="H10" s="14">
        <v>5024000071</v>
      </c>
      <c r="I10" s="14" t="s">
        <v>77</v>
      </c>
      <c r="J10" s="14" t="s">
        <v>76</v>
      </c>
      <c r="K10" s="15">
        <v>45702</v>
      </c>
      <c r="L10" s="16">
        <v>5.21</v>
      </c>
      <c r="M10" s="1" t="s">
        <v>57</v>
      </c>
      <c r="N10" s="3" t="s">
        <v>44</v>
      </c>
      <c r="O10" s="1" t="s">
        <v>70</v>
      </c>
    </row>
    <row r="11" spans="1:15" ht="17.100000000000001" customHeight="1" x14ac:dyDescent="0.3">
      <c r="A11" s="3" t="str">
        <f t="shared" si="0"/>
        <v>4600025405C/ PROTOCOLO</v>
      </c>
      <c r="B11" s="14" t="s">
        <v>33</v>
      </c>
      <c r="C11" s="14">
        <v>4600025405</v>
      </c>
      <c r="D11" s="14">
        <v>10</v>
      </c>
      <c r="E11" s="14">
        <v>4706893</v>
      </c>
      <c r="F11" s="14">
        <v>2610</v>
      </c>
      <c r="G11" s="14" t="s">
        <v>32</v>
      </c>
      <c r="H11" s="14">
        <v>5024000071</v>
      </c>
      <c r="I11" s="14" t="s">
        <v>77</v>
      </c>
      <c r="J11" s="14" t="s">
        <v>76</v>
      </c>
      <c r="K11" s="15">
        <v>45709</v>
      </c>
      <c r="L11" s="16">
        <v>5.22</v>
      </c>
      <c r="M11" s="1" t="s">
        <v>53</v>
      </c>
      <c r="N11" s="3" t="s">
        <v>45</v>
      </c>
      <c r="O11" s="1" t="s">
        <v>70</v>
      </c>
    </row>
    <row r="12" spans="1:15" ht="17.100000000000001" customHeight="1" x14ac:dyDescent="0.3">
      <c r="A12" s="3" t="str">
        <f t="shared" si="0"/>
        <v>4600010623C/ PROTOCOLO</v>
      </c>
      <c r="B12" s="14" t="s">
        <v>33</v>
      </c>
      <c r="C12" s="14">
        <v>4600010623</v>
      </c>
      <c r="D12" s="14">
        <v>10</v>
      </c>
      <c r="E12" s="14">
        <v>4700980</v>
      </c>
      <c r="F12" s="14">
        <v>1400</v>
      </c>
      <c r="G12" s="14" t="s">
        <v>32</v>
      </c>
      <c r="H12" s="14">
        <v>5210100008</v>
      </c>
      <c r="I12" s="14" t="s">
        <v>78</v>
      </c>
      <c r="J12" s="14" t="s">
        <v>79</v>
      </c>
      <c r="K12" s="15">
        <v>43741</v>
      </c>
      <c r="L12" s="16">
        <v>8.06</v>
      </c>
      <c r="M12" s="1" t="s">
        <v>47</v>
      </c>
      <c r="N12" s="3" t="s">
        <v>145</v>
      </c>
      <c r="O12" s="1" t="s">
        <v>70</v>
      </c>
    </row>
    <row r="13" spans="1:15" ht="17.100000000000001" customHeight="1" x14ac:dyDescent="0.3">
      <c r="A13" s="3" t="str">
        <f t="shared" si="0"/>
        <v>4600010987C/ PROTOCOLO</v>
      </c>
      <c r="B13" s="14" t="s">
        <v>33</v>
      </c>
      <c r="C13" s="14">
        <v>4600010987</v>
      </c>
      <c r="D13" s="14">
        <v>10</v>
      </c>
      <c r="E13" s="14">
        <v>4701044</v>
      </c>
      <c r="F13" s="14">
        <v>2930</v>
      </c>
      <c r="G13" s="14" t="s">
        <v>32</v>
      </c>
      <c r="H13" s="14">
        <v>5210100008</v>
      </c>
      <c r="I13" s="14" t="s">
        <v>78</v>
      </c>
      <c r="J13" s="14" t="s">
        <v>79</v>
      </c>
      <c r="K13" s="15">
        <v>43745</v>
      </c>
      <c r="L13" s="16">
        <v>9.1</v>
      </c>
      <c r="M13" s="1" t="s">
        <v>47</v>
      </c>
      <c r="N13" s="3" t="s">
        <v>145</v>
      </c>
      <c r="O13" s="1" t="s">
        <v>70</v>
      </c>
    </row>
    <row r="14" spans="1:15" ht="17.100000000000001" customHeight="1" x14ac:dyDescent="0.3">
      <c r="A14" s="3" t="str">
        <f t="shared" si="0"/>
        <v>4600011000C/ PROTOCOLO</v>
      </c>
      <c r="B14" s="14" t="s">
        <v>33</v>
      </c>
      <c r="C14" s="14">
        <v>4600011000</v>
      </c>
      <c r="D14" s="14">
        <v>10</v>
      </c>
      <c r="E14" s="14">
        <v>4003616</v>
      </c>
      <c r="F14" s="14">
        <v>1400</v>
      </c>
      <c r="G14" s="14" t="s">
        <v>32</v>
      </c>
      <c r="H14" s="14">
        <v>5210100008</v>
      </c>
      <c r="I14" s="14" t="s">
        <v>78</v>
      </c>
      <c r="J14" s="14" t="s">
        <v>79</v>
      </c>
      <c r="K14" s="15">
        <v>43747</v>
      </c>
      <c r="L14" s="16">
        <v>7.84</v>
      </c>
      <c r="M14" s="1" t="s">
        <v>48</v>
      </c>
      <c r="N14" s="3" t="s">
        <v>40</v>
      </c>
      <c r="O14" s="1" t="s">
        <v>70</v>
      </c>
    </row>
    <row r="15" spans="1:15" ht="17.100000000000001" customHeight="1" x14ac:dyDescent="0.3">
      <c r="A15" s="3" t="str">
        <f t="shared" si="0"/>
        <v>4600010996C/ PROTOCOLO</v>
      </c>
      <c r="B15" s="14" t="s">
        <v>33</v>
      </c>
      <c r="C15" s="14">
        <v>4600010996</v>
      </c>
      <c r="D15" s="14">
        <v>10</v>
      </c>
      <c r="E15" s="14">
        <v>4701044</v>
      </c>
      <c r="F15" s="14">
        <v>1400</v>
      </c>
      <c r="G15" s="14" t="s">
        <v>32</v>
      </c>
      <c r="H15" s="14">
        <v>5210100008</v>
      </c>
      <c r="I15" s="14" t="s">
        <v>78</v>
      </c>
      <c r="J15" s="14" t="s">
        <v>79</v>
      </c>
      <c r="K15" s="15">
        <v>43747</v>
      </c>
      <c r="L15" s="16">
        <v>8.26</v>
      </c>
      <c r="M15" s="1" t="s">
        <v>47</v>
      </c>
      <c r="N15" s="3" t="s">
        <v>145</v>
      </c>
      <c r="O15" s="1" t="s">
        <v>70</v>
      </c>
    </row>
    <row r="16" spans="1:15" ht="17.100000000000001" customHeight="1" x14ac:dyDescent="0.3">
      <c r="A16" s="3" t="str">
        <f t="shared" si="0"/>
        <v>4600015293C/ PROTOCOLO</v>
      </c>
      <c r="B16" s="14" t="s">
        <v>33</v>
      </c>
      <c r="C16" s="14">
        <v>4600015293</v>
      </c>
      <c r="D16" s="14">
        <v>10</v>
      </c>
      <c r="E16" s="14">
        <v>4706893</v>
      </c>
      <c r="F16" s="14">
        <v>1340</v>
      </c>
      <c r="G16" s="14" t="s">
        <v>32</v>
      </c>
      <c r="H16" s="14">
        <v>5210100008</v>
      </c>
      <c r="I16" s="14" t="s">
        <v>78</v>
      </c>
      <c r="J16" s="14" t="s">
        <v>79</v>
      </c>
      <c r="K16" s="15">
        <v>44503</v>
      </c>
      <c r="L16" s="16">
        <v>8.11</v>
      </c>
      <c r="M16" s="1" t="s">
        <v>53</v>
      </c>
      <c r="N16" s="3" t="s">
        <v>45</v>
      </c>
      <c r="O16" s="1" t="s">
        <v>70</v>
      </c>
    </row>
    <row r="17" spans="1:15" ht="17.100000000000001" customHeight="1" x14ac:dyDescent="0.3">
      <c r="A17" s="3" t="str">
        <f t="shared" si="0"/>
        <v>4600017472C/ PROTOCOLO</v>
      </c>
      <c r="B17" s="14" t="s">
        <v>33</v>
      </c>
      <c r="C17" s="14">
        <v>4600017472</v>
      </c>
      <c r="D17" s="14">
        <v>10</v>
      </c>
      <c r="E17" s="14">
        <v>4006451</v>
      </c>
      <c r="F17" s="14">
        <v>2410</v>
      </c>
      <c r="G17" s="14" t="s">
        <v>32</v>
      </c>
      <c r="H17" s="14">
        <v>5210100008</v>
      </c>
      <c r="I17" s="14" t="s">
        <v>78</v>
      </c>
      <c r="J17" s="14" t="s">
        <v>79</v>
      </c>
      <c r="K17" s="15">
        <v>44882</v>
      </c>
      <c r="L17" s="16">
        <v>5.24</v>
      </c>
      <c r="M17" s="1" t="s">
        <v>83</v>
      </c>
      <c r="N17" s="3" t="s">
        <v>142</v>
      </c>
      <c r="O17" s="1" t="s">
        <v>70</v>
      </c>
    </row>
    <row r="18" spans="1:15" ht="17.100000000000001" customHeight="1" x14ac:dyDescent="0.3">
      <c r="A18" s="3" t="str">
        <f t="shared" si="0"/>
        <v>4600018167C/ PROTOCOLO</v>
      </c>
      <c r="B18" s="14" t="s">
        <v>33</v>
      </c>
      <c r="C18" s="14">
        <v>4600018167</v>
      </c>
      <c r="D18" s="14">
        <v>10</v>
      </c>
      <c r="E18" s="14">
        <v>4703020</v>
      </c>
      <c r="F18" s="14">
        <v>1380</v>
      </c>
      <c r="G18" s="14" t="s">
        <v>32</v>
      </c>
      <c r="H18" s="14">
        <v>5210100008</v>
      </c>
      <c r="I18" s="14" t="s">
        <v>78</v>
      </c>
      <c r="J18" s="14" t="s">
        <v>79</v>
      </c>
      <c r="K18" s="15">
        <v>45012</v>
      </c>
      <c r="L18" s="16">
        <v>9.93</v>
      </c>
      <c r="M18" s="1" t="s">
        <v>54</v>
      </c>
      <c r="N18" s="3" t="s">
        <v>143</v>
      </c>
      <c r="O18" s="1" t="s">
        <v>70</v>
      </c>
    </row>
    <row r="19" spans="1:15" ht="17.100000000000001" customHeight="1" x14ac:dyDescent="0.3">
      <c r="A19" s="3" t="str">
        <f t="shared" si="0"/>
        <v>4600018698C/ PROTOCOLO</v>
      </c>
      <c r="B19" s="14" t="s">
        <v>33</v>
      </c>
      <c r="C19" s="14">
        <v>4600018698</v>
      </c>
      <c r="D19" s="14">
        <v>10</v>
      </c>
      <c r="E19" s="14">
        <v>4707793</v>
      </c>
      <c r="F19" s="14">
        <v>1430</v>
      </c>
      <c r="G19" s="14" t="s">
        <v>32</v>
      </c>
      <c r="H19" s="14">
        <v>5210100008</v>
      </c>
      <c r="I19" s="14" t="s">
        <v>78</v>
      </c>
      <c r="J19" s="14" t="s">
        <v>79</v>
      </c>
      <c r="K19" s="15">
        <v>45030</v>
      </c>
      <c r="L19" s="16">
        <v>6.56</v>
      </c>
      <c r="M19" s="1" t="s">
        <v>55</v>
      </c>
      <c r="N19" s="3" t="s">
        <v>43</v>
      </c>
      <c r="O19" s="1" t="s">
        <v>70</v>
      </c>
    </row>
    <row r="20" spans="1:15" ht="17.100000000000001" customHeight="1" x14ac:dyDescent="0.3">
      <c r="A20" s="3" t="str">
        <f t="shared" si="0"/>
        <v>4600021962C/ PROTOCOLO</v>
      </c>
      <c r="B20" s="14" t="s">
        <v>33</v>
      </c>
      <c r="C20" s="14">
        <v>4600021962</v>
      </c>
      <c r="D20" s="14">
        <v>10</v>
      </c>
      <c r="E20" s="14">
        <v>4703020</v>
      </c>
      <c r="F20" s="14">
        <v>160</v>
      </c>
      <c r="G20" s="14" t="s">
        <v>32</v>
      </c>
      <c r="H20" s="14">
        <v>5210100008</v>
      </c>
      <c r="I20" s="14" t="s">
        <v>78</v>
      </c>
      <c r="J20" s="14" t="s">
        <v>79</v>
      </c>
      <c r="K20" s="15">
        <v>45489</v>
      </c>
      <c r="L20" s="16">
        <v>10.34</v>
      </c>
      <c r="M20" s="1" t="s">
        <v>54</v>
      </c>
      <c r="N20" s="3" t="s">
        <v>143</v>
      </c>
      <c r="O20" s="1" t="s">
        <v>70</v>
      </c>
    </row>
    <row r="21" spans="1:15" ht="17.100000000000001" customHeight="1" x14ac:dyDescent="0.3">
      <c r="A21" s="3" t="str">
        <f t="shared" si="0"/>
        <v>4600010623S/ PROTOCOLO</v>
      </c>
      <c r="B21" s="14" t="s">
        <v>33</v>
      </c>
      <c r="C21" s="14">
        <v>4600010623</v>
      </c>
      <c r="D21" s="14">
        <v>10</v>
      </c>
      <c r="E21" s="14">
        <v>4700980</v>
      </c>
      <c r="F21" s="14">
        <v>1410</v>
      </c>
      <c r="G21" s="14" t="s">
        <v>32</v>
      </c>
      <c r="H21" s="14">
        <v>5210100009</v>
      </c>
      <c r="I21" s="14" t="s">
        <v>80</v>
      </c>
      <c r="J21" s="14" t="s">
        <v>79</v>
      </c>
      <c r="K21" s="15">
        <v>43741</v>
      </c>
      <c r="L21" s="16">
        <v>4.12</v>
      </c>
      <c r="M21" s="1" t="s">
        <v>47</v>
      </c>
      <c r="N21" s="3" t="s">
        <v>145</v>
      </c>
      <c r="O21" s="1" t="s">
        <v>69</v>
      </c>
    </row>
    <row r="22" spans="1:15" ht="17.100000000000001" customHeight="1" x14ac:dyDescent="0.3">
      <c r="A22" s="3" t="str">
        <f t="shared" si="0"/>
        <v>4600010987S/ PROTOCOLO</v>
      </c>
      <c r="B22" s="14" t="s">
        <v>33</v>
      </c>
      <c r="C22" s="14">
        <v>4600010987</v>
      </c>
      <c r="D22" s="14">
        <v>10</v>
      </c>
      <c r="E22" s="14">
        <v>4701044</v>
      </c>
      <c r="F22" s="14">
        <v>2940</v>
      </c>
      <c r="G22" s="14" t="s">
        <v>32</v>
      </c>
      <c r="H22" s="14">
        <v>5210100009</v>
      </c>
      <c r="I22" s="14" t="s">
        <v>80</v>
      </c>
      <c r="J22" s="14" t="s">
        <v>79</v>
      </c>
      <c r="K22" s="15">
        <v>43745</v>
      </c>
      <c r="L22" s="16">
        <v>4.2699999999999996</v>
      </c>
      <c r="M22" s="1" t="s">
        <v>47</v>
      </c>
      <c r="N22" s="3" t="s">
        <v>145</v>
      </c>
      <c r="O22" s="1" t="s">
        <v>69</v>
      </c>
    </row>
    <row r="23" spans="1:15" ht="17.100000000000001" customHeight="1" x14ac:dyDescent="0.3">
      <c r="A23" s="3" t="str">
        <f t="shared" si="0"/>
        <v>4600010996S/ PROTOCOLO</v>
      </c>
      <c r="B23" s="14" t="s">
        <v>33</v>
      </c>
      <c r="C23" s="14">
        <v>4600010996</v>
      </c>
      <c r="D23" s="14">
        <v>10</v>
      </c>
      <c r="E23" s="14">
        <v>4701044</v>
      </c>
      <c r="F23" s="14">
        <v>1410</v>
      </c>
      <c r="G23" s="14" t="s">
        <v>32</v>
      </c>
      <c r="H23" s="14">
        <v>5210100009</v>
      </c>
      <c r="I23" s="14" t="s">
        <v>80</v>
      </c>
      <c r="J23" s="14" t="s">
        <v>79</v>
      </c>
      <c r="K23" s="15">
        <v>43747</v>
      </c>
      <c r="L23" s="16">
        <v>5.58</v>
      </c>
      <c r="M23" s="1" t="s">
        <v>47</v>
      </c>
      <c r="N23" s="3" t="s">
        <v>145</v>
      </c>
      <c r="O23" s="1" t="s">
        <v>69</v>
      </c>
    </row>
    <row r="24" spans="1:15" ht="17.100000000000001" customHeight="1" x14ac:dyDescent="0.3">
      <c r="A24" s="3" t="str">
        <f t="shared" si="0"/>
        <v>4600011000S/ PROTOCOLO</v>
      </c>
      <c r="B24" s="14" t="s">
        <v>33</v>
      </c>
      <c r="C24" s="14">
        <v>4600011000</v>
      </c>
      <c r="D24" s="14">
        <v>10</v>
      </c>
      <c r="E24" s="14">
        <v>4003616</v>
      </c>
      <c r="F24" s="14">
        <v>1410</v>
      </c>
      <c r="G24" s="14" t="s">
        <v>32</v>
      </c>
      <c r="H24" s="14">
        <v>5210100009</v>
      </c>
      <c r="I24" s="14" t="s">
        <v>80</v>
      </c>
      <c r="J24" s="14" t="s">
        <v>79</v>
      </c>
      <c r="K24" s="15">
        <v>43747</v>
      </c>
      <c r="L24" s="16">
        <v>5.29</v>
      </c>
      <c r="M24" s="1" t="s">
        <v>48</v>
      </c>
      <c r="N24" s="3" t="s">
        <v>40</v>
      </c>
      <c r="O24" s="1" t="s">
        <v>69</v>
      </c>
    </row>
    <row r="25" spans="1:15" ht="17.100000000000001" customHeight="1" x14ac:dyDescent="0.3">
      <c r="A25" s="3" t="str">
        <f t="shared" si="0"/>
        <v>4600015293S/ PROTOCOLO</v>
      </c>
      <c r="B25" s="14" t="s">
        <v>33</v>
      </c>
      <c r="C25" s="14">
        <v>4600015293</v>
      </c>
      <c r="D25" s="14">
        <v>10</v>
      </c>
      <c r="E25" s="14">
        <v>4706893</v>
      </c>
      <c r="F25" s="14">
        <v>1450</v>
      </c>
      <c r="G25" s="14" t="s">
        <v>32</v>
      </c>
      <c r="H25" s="14">
        <v>5210100009</v>
      </c>
      <c r="I25" s="14" t="s">
        <v>80</v>
      </c>
      <c r="J25" s="14" t="s">
        <v>79</v>
      </c>
      <c r="K25" s="15">
        <v>44503</v>
      </c>
      <c r="L25" s="16">
        <v>5.43</v>
      </c>
      <c r="M25" s="1" t="s">
        <v>53</v>
      </c>
      <c r="N25" s="3" t="s">
        <v>45</v>
      </c>
      <c r="O25" s="1" t="s">
        <v>69</v>
      </c>
    </row>
    <row r="26" spans="1:15" ht="17.100000000000001" customHeight="1" x14ac:dyDescent="0.3">
      <c r="A26" s="3" t="str">
        <f t="shared" si="0"/>
        <v>4600017472S/ PROTOCOLO</v>
      </c>
      <c r="B26" s="14" t="s">
        <v>33</v>
      </c>
      <c r="C26" s="14">
        <v>4600017472</v>
      </c>
      <c r="D26" s="14">
        <v>10</v>
      </c>
      <c r="E26" s="14">
        <v>4006451</v>
      </c>
      <c r="F26" s="14">
        <v>2420</v>
      </c>
      <c r="G26" s="14" t="s">
        <v>32</v>
      </c>
      <c r="H26" s="14">
        <v>5210100009</v>
      </c>
      <c r="I26" s="14" t="s">
        <v>80</v>
      </c>
      <c r="J26" s="14" t="s">
        <v>79</v>
      </c>
      <c r="K26" s="15">
        <v>44882</v>
      </c>
      <c r="L26" s="16">
        <v>3.35</v>
      </c>
      <c r="M26" s="1" t="s">
        <v>83</v>
      </c>
      <c r="N26" s="3" t="s">
        <v>142</v>
      </c>
      <c r="O26" s="1" t="s">
        <v>69</v>
      </c>
    </row>
    <row r="27" spans="1:15" ht="17.100000000000001" customHeight="1" x14ac:dyDescent="0.3">
      <c r="A27" s="3" t="str">
        <f t="shared" si="0"/>
        <v>4600018167S/ PROTOCOLO</v>
      </c>
      <c r="B27" s="14" t="s">
        <v>33</v>
      </c>
      <c r="C27" s="14">
        <v>4600018167</v>
      </c>
      <c r="D27" s="14">
        <v>10</v>
      </c>
      <c r="E27" s="14">
        <v>4703020</v>
      </c>
      <c r="F27" s="14">
        <v>1390</v>
      </c>
      <c r="G27" s="14" t="s">
        <v>32</v>
      </c>
      <c r="H27" s="14">
        <v>5210100009</v>
      </c>
      <c r="I27" s="14" t="s">
        <v>80</v>
      </c>
      <c r="J27" s="14" t="s">
        <v>79</v>
      </c>
      <c r="K27" s="15">
        <v>45012</v>
      </c>
      <c r="L27" s="16">
        <v>4.1500000000000004</v>
      </c>
      <c r="M27" s="1" t="s">
        <v>54</v>
      </c>
      <c r="N27" s="3" t="s">
        <v>143</v>
      </c>
      <c r="O27" s="1" t="s">
        <v>69</v>
      </c>
    </row>
    <row r="28" spans="1:15" ht="17.100000000000001" customHeight="1" x14ac:dyDescent="0.3">
      <c r="A28" s="3" t="str">
        <f t="shared" si="0"/>
        <v>4600018698S/ PROTOCOLO</v>
      </c>
      <c r="B28" s="14" t="s">
        <v>33</v>
      </c>
      <c r="C28" s="14">
        <v>4600018698</v>
      </c>
      <c r="D28" s="14">
        <v>10</v>
      </c>
      <c r="E28" s="14">
        <v>4707793</v>
      </c>
      <c r="F28" s="14">
        <v>30</v>
      </c>
      <c r="G28" s="14" t="s">
        <v>32</v>
      </c>
      <c r="H28" s="14">
        <v>5210100009</v>
      </c>
      <c r="I28" s="14" t="s">
        <v>80</v>
      </c>
      <c r="J28" s="14" t="s">
        <v>79</v>
      </c>
      <c r="K28" s="15">
        <v>45030</v>
      </c>
      <c r="L28" s="16">
        <v>32.299999999999997</v>
      </c>
      <c r="M28" s="1" t="s">
        <v>55</v>
      </c>
      <c r="N28" s="3" t="s">
        <v>43</v>
      </c>
      <c r="O28" s="1" t="s">
        <v>69</v>
      </c>
    </row>
    <row r="29" spans="1:15" ht="17.100000000000001" customHeight="1" x14ac:dyDescent="0.3">
      <c r="A29" s="3" t="str">
        <f t="shared" si="0"/>
        <v>4600021962S/ PROTOCOLO</v>
      </c>
      <c r="B29" s="14" t="s">
        <v>33</v>
      </c>
      <c r="C29" s="14">
        <v>4600021962</v>
      </c>
      <c r="D29" s="14">
        <v>10</v>
      </c>
      <c r="E29" s="14">
        <v>4703020</v>
      </c>
      <c r="F29" s="14">
        <v>50</v>
      </c>
      <c r="G29" s="14" t="s">
        <v>32</v>
      </c>
      <c r="H29" s="14">
        <v>5210100009</v>
      </c>
      <c r="I29" s="14" t="s">
        <v>80</v>
      </c>
      <c r="J29" s="14" t="s">
        <v>79</v>
      </c>
      <c r="K29" s="15">
        <v>45489</v>
      </c>
      <c r="L29" s="16">
        <v>4.32</v>
      </c>
      <c r="M29" s="1" t="s">
        <v>54</v>
      </c>
      <c r="N29" s="3" t="s">
        <v>143</v>
      </c>
      <c r="O29" s="1" t="s">
        <v>69</v>
      </c>
    </row>
    <row r="30" spans="1:15" ht="17.100000000000001" customHeight="1" x14ac:dyDescent="0.3">
      <c r="A30" s="3" t="str">
        <f t="shared" si="0"/>
        <v>4600024692S/ PROTOCOLO</v>
      </c>
      <c r="B30" s="14" t="s">
        <v>33</v>
      </c>
      <c r="C30" s="14">
        <v>4600024692</v>
      </c>
      <c r="D30" s="14">
        <v>20</v>
      </c>
      <c r="E30" s="14">
        <v>4700980</v>
      </c>
      <c r="F30" s="14">
        <v>2550</v>
      </c>
      <c r="G30" s="14" t="s">
        <v>32</v>
      </c>
      <c r="H30" s="14">
        <v>5024000070</v>
      </c>
      <c r="I30" s="14" t="s">
        <v>75</v>
      </c>
      <c r="J30" s="14" t="s">
        <v>76</v>
      </c>
      <c r="K30" s="15">
        <v>45660</v>
      </c>
      <c r="L30" s="16">
        <v>5.93</v>
      </c>
      <c r="M30" s="1" t="s">
        <v>47</v>
      </c>
      <c r="N30" s="3" t="s">
        <v>145</v>
      </c>
      <c r="O30" s="1" t="s">
        <v>69</v>
      </c>
    </row>
    <row r="31" spans="1:15" ht="17.100000000000001" customHeight="1" x14ac:dyDescent="0.3">
      <c r="A31" s="3" t="str">
        <f t="shared" si="0"/>
        <v>4600024693S/ PROTOCOLO</v>
      </c>
      <c r="B31" s="14" t="s">
        <v>33</v>
      </c>
      <c r="C31" s="14">
        <v>4600024693</v>
      </c>
      <c r="D31" s="14">
        <v>20</v>
      </c>
      <c r="E31" s="14">
        <v>4701044</v>
      </c>
      <c r="F31" s="14">
        <v>2550</v>
      </c>
      <c r="G31" s="14" t="s">
        <v>32</v>
      </c>
      <c r="H31" s="14">
        <v>5024000070</v>
      </c>
      <c r="I31" s="14" t="s">
        <v>75</v>
      </c>
      <c r="J31" s="14" t="s">
        <v>76</v>
      </c>
      <c r="K31" s="15">
        <v>45660</v>
      </c>
      <c r="L31" s="16">
        <v>5.57</v>
      </c>
      <c r="M31" s="1" t="s">
        <v>47</v>
      </c>
      <c r="N31" s="3" t="s">
        <v>145</v>
      </c>
      <c r="O31" s="1" t="s">
        <v>69</v>
      </c>
    </row>
    <row r="32" spans="1:15" ht="17.100000000000001" customHeight="1" x14ac:dyDescent="0.3">
      <c r="A32" s="3" t="str">
        <f t="shared" si="0"/>
        <v>4600025394S/ PROTOCOLO</v>
      </c>
      <c r="B32" s="14" t="s">
        <v>33</v>
      </c>
      <c r="C32" s="14">
        <v>4600025394</v>
      </c>
      <c r="D32" s="14">
        <v>20</v>
      </c>
      <c r="E32" s="14">
        <v>4709594</v>
      </c>
      <c r="F32" s="14">
        <v>2570</v>
      </c>
      <c r="G32" s="14" t="s">
        <v>32</v>
      </c>
      <c r="H32" s="14">
        <v>5024000070</v>
      </c>
      <c r="I32" s="14" t="s">
        <v>75</v>
      </c>
      <c r="J32" s="14" t="s">
        <v>76</v>
      </c>
      <c r="K32" s="15">
        <v>45708</v>
      </c>
      <c r="L32" s="16">
        <v>6.59</v>
      </c>
      <c r="M32" s="1" t="s">
        <v>82</v>
      </c>
      <c r="N32" s="3" t="s">
        <v>145</v>
      </c>
      <c r="O32" s="1" t="s">
        <v>69</v>
      </c>
    </row>
    <row r="33" spans="1:15" ht="17.100000000000001" customHeight="1" x14ac:dyDescent="0.3">
      <c r="A33" s="3" t="str">
        <f t="shared" si="0"/>
        <v>4600025405S/ PROTOCOLO</v>
      </c>
      <c r="B33" s="14" t="s">
        <v>33</v>
      </c>
      <c r="C33" s="14">
        <v>4600025405</v>
      </c>
      <c r="D33" s="14">
        <v>20</v>
      </c>
      <c r="E33" s="14">
        <v>4706893</v>
      </c>
      <c r="F33" s="14">
        <v>2600</v>
      </c>
      <c r="G33" s="14" t="s">
        <v>32</v>
      </c>
      <c r="H33" s="14">
        <v>5024000070</v>
      </c>
      <c r="I33" s="14" t="s">
        <v>75</v>
      </c>
      <c r="J33" s="14" t="s">
        <v>76</v>
      </c>
      <c r="K33" s="15">
        <v>45709</v>
      </c>
      <c r="L33" s="16">
        <v>4.46</v>
      </c>
      <c r="M33" s="1" t="s">
        <v>53</v>
      </c>
      <c r="N33" s="3" t="s">
        <v>45</v>
      </c>
      <c r="O33" s="1" t="s">
        <v>69</v>
      </c>
    </row>
    <row r="34" spans="1:15" ht="17.100000000000001" customHeight="1" x14ac:dyDescent="0.3">
      <c r="A34" s="3" t="str">
        <f t="shared" si="0"/>
        <v>4600025343S/ PROTOCOLO</v>
      </c>
      <c r="B34" s="14" t="s">
        <v>33</v>
      </c>
      <c r="C34" s="14">
        <v>4600025343</v>
      </c>
      <c r="D34" s="14">
        <v>20</v>
      </c>
      <c r="E34" s="14">
        <v>3001425</v>
      </c>
      <c r="F34" s="14">
        <v>2600</v>
      </c>
      <c r="G34" s="14" t="s">
        <v>32</v>
      </c>
      <c r="H34" s="14">
        <v>5024000070</v>
      </c>
      <c r="I34" s="14" t="s">
        <v>75</v>
      </c>
      <c r="J34" s="14" t="s">
        <v>76</v>
      </c>
      <c r="K34" s="15">
        <v>45702</v>
      </c>
      <c r="L34" s="16">
        <v>4.45</v>
      </c>
      <c r="M34" s="1" t="s">
        <v>57</v>
      </c>
      <c r="N34" s="3" t="s">
        <v>44</v>
      </c>
      <c r="O34" s="1" t="s">
        <v>69</v>
      </c>
    </row>
    <row r="35" spans="1:15" ht="17.100000000000001" customHeight="1" x14ac:dyDescent="0.3">
      <c r="A35" s="3" t="str">
        <f t="shared" si="0"/>
        <v>4600024692C/ PROTOCOLO</v>
      </c>
      <c r="B35" s="14" t="s">
        <v>33</v>
      </c>
      <c r="C35" s="14">
        <v>4600024692</v>
      </c>
      <c r="D35" s="14">
        <v>20</v>
      </c>
      <c r="E35" s="14">
        <v>4700980</v>
      </c>
      <c r="F35" s="14">
        <v>2560</v>
      </c>
      <c r="G35" s="14" t="s">
        <v>32</v>
      </c>
      <c r="H35" s="14">
        <v>5024000071</v>
      </c>
      <c r="I35" s="14" t="s">
        <v>77</v>
      </c>
      <c r="J35" s="14" t="s">
        <v>76</v>
      </c>
      <c r="K35" s="15">
        <v>45660</v>
      </c>
      <c r="L35" s="16">
        <v>6.93</v>
      </c>
      <c r="M35" s="1" t="s">
        <v>47</v>
      </c>
      <c r="N35" s="3" t="s">
        <v>145</v>
      </c>
      <c r="O35" s="1" t="s">
        <v>70</v>
      </c>
    </row>
    <row r="36" spans="1:15" ht="17.100000000000001" customHeight="1" x14ac:dyDescent="0.3">
      <c r="A36" s="3" t="str">
        <f t="shared" si="0"/>
        <v>4600024693C/ PROTOCOLO</v>
      </c>
      <c r="B36" s="14" t="s">
        <v>33</v>
      </c>
      <c r="C36" s="14">
        <v>4600024693</v>
      </c>
      <c r="D36" s="14">
        <v>20</v>
      </c>
      <c r="E36" s="14">
        <v>4701044</v>
      </c>
      <c r="F36" s="14">
        <v>2560</v>
      </c>
      <c r="G36" s="14" t="s">
        <v>32</v>
      </c>
      <c r="H36" s="14">
        <v>5024000071</v>
      </c>
      <c r="I36" s="14" t="s">
        <v>77</v>
      </c>
      <c r="J36" s="14" t="s">
        <v>76</v>
      </c>
      <c r="K36" s="15">
        <v>45660</v>
      </c>
      <c r="L36" s="16">
        <v>6.52</v>
      </c>
      <c r="M36" s="1" t="s">
        <v>47</v>
      </c>
      <c r="N36" s="3" t="s">
        <v>145</v>
      </c>
      <c r="O36" s="1" t="s">
        <v>70</v>
      </c>
    </row>
    <row r="37" spans="1:15" ht="17.100000000000001" customHeight="1" x14ac:dyDescent="0.3">
      <c r="A37" s="3" t="str">
        <f t="shared" si="0"/>
        <v>4600025394C/ PROTOCOLO</v>
      </c>
      <c r="B37" s="14" t="s">
        <v>33</v>
      </c>
      <c r="C37" s="14">
        <v>4600025394</v>
      </c>
      <c r="D37" s="14">
        <v>20</v>
      </c>
      <c r="E37" s="14">
        <v>4709594</v>
      </c>
      <c r="F37" s="14">
        <v>2580</v>
      </c>
      <c r="G37" s="14" t="s">
        <v>32</v>
      </c>
      <c r="H37" s="14">
        <v>5024000071</v>
      </c>
      <c r="I37" s="14" t="s">
        <v>77</v>
      </c>
      <c r="J37" s="14" t="s">
        <v>76</v>
      </c>
      <c r="K37" s="15">
        <v>45708</v>
      </c>
      <c r="L37" s="16">
        <v>7.71</v>
      </c>
      <c r="M37" s="1" t="s">
        <v>82</v>
      </c>
      <c r="N37" s="3" t="s">
        <v>145</v>
      </c>
      <c r="O37" s="1" t="s">
        <v>70</v>
      </c>
    </row>
    <row r="38" spans="1:15" ht="17.100000000000001" customHeight="1" x14ac:dyDescent="0.3">
      <c r="A38" s="3" t="str">
        <f t="shared" si="0"/>
        <v>4600025405C/ PROTOCOLO</v>
      </c>
      <c r="B38" s="14" t="s">
        <v>33</v>
      </c>
      <c r="C38" s="14">
        <v>4600025405</v>
      </c>
      <c r="D38" s="14">
        <v>20</v>
      </c>
      <c r="E38" s="14">
        <v>4706893</v>
      </c>
      <c r="F38" s="14">
        <v>2610</v>
      </c>
      <c r="G38" s="14" t="s">
        <v>32</v>
      </c>
      <c r="H38" s="14">
        <v>5024000071</v>
      </c>
      <c r="I38" s="14" t="s">
        <v>77</v>
      </c>
      <c r="J38" s="14" t="s">
        <v>76</v>
      </c>
      <c r="K38" s="15">
        <v>45709</v>
      </c>
      <c r="L38" s="16">
        <v>5.22</v>
      </c>
      <c r="M38" s="1" t="s">
        <v>53</v>
      </c>
      <c r="N38" s="3" t="s">
        <v>45</v>
      </c>
      <c r="O38" s="1" t="s">
        <v>70</v>
      </c>
    </row>
    <row r="39" spans="1:15" ht="17.100000000000001" customHeight="1" x14ac:dyDescent="0.3">
      <c r="A39" s="3" t="str">
        <f t="shared" si="0"/>
        <v>4600025343C/ PROTOCOLO</v>
      </c>
      <c r="B39" s="14" t="s">
        <v>33</v>
      </c>
      <c r="C39" s="14">
        <v>4600025343</v>
      </c>
      <c r="D39" s="14">
        <v>20</v>
      </c>
      <c r="E39" s="14">
        <v>3001425</v>
      </c>
      <c r="F39" s="14">
        <v>2610</v>
      </c>
      <c r="G39" s="14" t="s">
        <v>32</v>
      </c>
      <c r="H39" s="14">
        <v>5024000071</v>
      </c>
      <c r="I39" s="14" t="s">
        <v>77</v>
      </c>
      <c r="J39" s="14" t="s">
        <v>76</v>
      </c>
      <c r="K39" s="15">
        <v>45702</v>
      </c>
      <c r="L39" s="16">
        <v>5.21</v>
      </c>
      <c r="M39" s="1" t="s">
        <v>57</v>
      </c>
      <c r="N39" s="3" t="s">
        <v>44</v>
      </c>
      <c r="O39" s="1" t="s">
        <v>70</v>
      </c>
    </row>
    <row r="40" spans="1:15" ht="17.100000000000001" customHeight="1" x14ac:dyDescent="0.3">
      <c r="A40" s="3" t="str">
        <f t="shared" si="0"/>
        <v>4600013391C/ PROTOCOLO</v>
      </c>
      <c r="B40" s="14" t="s">
        <v>33</v>
      </c>
      <c r="C40" s="14">
        <v>4600013391</v>
      </c>
      <c r="D40" s="14">
        <v>20</v>
      </c>
      <c r="E40" s="14">
        <v>4701044</v>
      </c>
      <c r="F40" s="14">
        <v>1770</v>
      </c>
      <c r="G40" s="14" t="s">
        <v>32</v>
      </c>
      <c r="H40" s="14">
        <v>5210100008</v>
      </c>
      <c r="I40" s="14" t="s">
        <v>78</v>
      </c>
      <c r="J40" s="14" t="s">
        <v>79</v>
      </c>
      <c r="K40" s="15">
        <v>44193</v>
      </c>
      <c r="L40" s="16">
        <v>9.1</v>
      </c>
      <c r="M40" s="1" t="s">
        <v>47</v>
      </c>
      <c r="N40" s="3" t="s">
        <v>145</v>
      </c>
      <c r="O40" s="1" t="s">
        <v>70</v>
      </c>
    </row>
    <row r="41" spans="1:15" ht="17.100000000000001" customHeight="1" x14ac:dyDescent="0.3">
      <c r="A41" s="3" t="str">
        <f t="shared" si="0"/>
        <v>4600013392C/ PROTOCOLO</v>
      </c>
      <c r="B41" s="14" t="s">
        <v>33</v>
      </c>
      <c r="C41" s="14">
        <v>4600013392</v>
      </c>
      <c r="D41" s="14">
        <v>20</v>
      </c>
      <c r="E41" s="14">
        <v>4003616</v>
      </c>
      <c r="F41" s="14">
        <v>1810</v>
      </c>
      <c r="G41" s="14" t="s">
        <v>32</v>
      </c>
      <c r="H41" s="14">
        <v>5210100008</v>
      </c>
      <c r="I41" s="14" t="s">
        <v>78</v>
      </c>
      <c r="J41" s="14" t="s">
        <v>79</v>
      </c>
      <c r="K41" s="15">
        <v>44193</v>
      </c>
      <c r="L41" s="16">
        <v>7.84</v>
      </c>
      <c r="M41" s="1" t="s">
        <v>48</v>
      </c>
      <c r="N41" s="3" t="s">
        <v>40</v>
      </c>
      <c r="O41" s="1" t="s">
        <v>70</v>
      </c>
    </row>
    <row r="42" spans="1:15" ht="17.100000000000001" customHeight="1" x14ac:dyDescent="0.3">
      <c r="A42" s="3" t="str">
        <f t="shared" si="0"/>
        <v>4600013393C/ PROTOCOLO</v>
      </c>
      <c r="B42" s="14" t="s">
        <v>33</v>
      </c>
      <c r="C42" s="14">
        <v>4600013393</v>
      </c>
      <c r="D42" s="14">
        <v>20</v>
      </c>
      <c r="E42" s="14">
        <v>4701044</v>
      </c>
      <c r="F42" s="14">
        <v>1810</v>
      </c>
      <c r="G42" s="14" t="s">
        <v>32</v>
      </c>
      <c r="H42" s="14">
        <v>5210100008</v>
      </c>
      <c r="I42" s="14" t="s">
        <v>78</v>
      </c>
      <c r="J42" s="14" t="s">
        <v>79</v>
      </c>
      <c r="K42" s="15">
        <v>44193</v>
      </c>
      <c r="L42" s="16">
        <v>8.26</v>
      </c>
      <c r="M42" s="1" t="s">
        <v>47</v>
      </c>
      <c r="N42" s="3" t="s">
        <v>145</v>
      </c>
      <c r="O42" s="1" t="s">
        <v>70</v>
      </c>
    </row>
    <row r="43" spans="1:15" ht="17.100000000000001" customHeight="1" x14ac:dyDescent="0.3">
      <c r="A43" s="3" t="str">
        <f t="shared" si="0"/>
        <v>4600013394C/ PROTOCOLO</v>
      </c>
      <c r="B43" s="14" t="s">
        <v>33</v>
      </c>
      <c r="C43" s="14">
        <v>4600013394</v>
      </c>
      <c r="D43" s="14">
        <v>20</v>
      </c>
      <c r="E43" s="14">
        <v>4700980</v>
      </c>
      <c r="F43" s="14">
        <v>1820</v>
      </c>
      <c r="G43" s="14" t="s">
        <v>32</v>
      </c>
      <c r="H43" s="14">
        <v>5210100008</v>
      </c>
      <c r="I43" s="14" t="s">
        <v>78</v>
      </c>
      <c r="J43" s="14" t="s">
        <v>79</v>
      </c>
      <c r="K43" s="15">
        <v>44193</v>
      </c>
      <c r="L43" s="16">
        <v>8.06</v>
      </c>
      <c r="M43" s="1" t="s">
        <v>47</v>
      </c>
      <c r="N43" s="3" t="s">
        <v>145</v>
      </c>
      <c r="O43" s="1" t="s">
        <v>70</v>
      </c>
    </row>
    <row r="44" spans="1:15" ht="17.100000000000001" customHeight="1" x14ac:dyDescent="0.3">
      <c r="A44" s="3" t="str">
        <f t="shared" si="0"/>
        <v>4600014941C/ PROTOCOLO</v>
      </c>
      <c r="B44" s="14" t="s">
        <v>33</v>
      </c>
      <c r="C44" s="14">
        <v>4600014941</v>
      </c>
      <c r="D44" s="14">
        <v>20</v>
      </c>
      <c r="E44" s="14">
        <v>4706069</v>
      </c>
      <c r="F44" s="14">
        <v>5680</v>
      </c>
      <c r="G44" s="14" t="s">
        <v>32</v>
      </c>
      <c r="H44" s="14">
        <v>5210100008</v>
      </c>
      <c r="I44" s="14" t="s">
        <v>78</v>
      </c>
      <c r="J44" s="14" t="s">
        <v>79</v>
      </c>
      <c r="K44" s="15">
        <v>44466</v>
      </c>
      <c r="L44" s="16">
        <v>5.26</v>
      </c>
      <c r="M44" s="1" t="s">
        <v>84</v>
      </c>
      <c r="N44" s="3" t="s">
        <v>125</v>
      </c>
      <c r="O44" s="1" t="s">
        <v>70</v>
      </c>
    </row>
    <row r="45" spans="1:15" ht="17.100000000000001" customHeight="1" x14ac:dyDescent="0.3">
      <c r="A45" s="3" t="str">
        <f t="shared" si="0"/>
        <v>4600015293C/ PROTOCOLO</v>
      </c>
      <c r="B45" s="14" t="s">
        <v>33</v>
      </c>
      <c r="C45" s="14">
        <v>4600015293</v>
      </c>
      <c r="D45" s="14">
        <v>20</v>
      </c>
      <c r="E45" s="14">
        <v>4706893</v>
      </c>
      <c r="F45" s="14">
        <v>3250</v>
      </c>
      <c r="G45" s="14" t="s">
        <v>32</v>
      </c>
      <c r="H45" s="14">
        <v>5210100008</v>
      </c>
      <c r="I45" s="14" t="s">
        <v>78</v>
      </c>
      <c r="J45" s="14" t="s">
        <v>79</v>
      </c>
      <c r="K45" s="15">
        <v>44503</v>
      </c>
      <c r="L45" s="16">
        <v>8.11</v>
      </c>
      <c r="M45" s="1" t="s">
        <v>53</v>
      </c>
      <c r="N45" s="3" t="s">
        <v>45</v>
      </c>
      <c r="O45" s="1" t="s">
        <v>70</v>
      </c>
    </row>
    <row r="46" spans="1:15" ht="17.100000000000001" customHeight="1" x14ac:dyDescent="0.3">
      <c r="A46" s="3" t="str">
        <f t="shared" si="0"/>
        <v>4600018170C/ PROTOCOLO</v>
      </c>
      <c r="B46" s="14" t="s">
        <v>33</v>
      </c>
      <c r="C46" s="14">
        <v>4600018170</v>
      </c>
      <c r="D46" s="14">
        <v>20</v>
      </c>
      <c r="E46" s="14">
        <v>4703020</v>
      </c>
      <c r="F46" s="14">
        <v>1720</v>
      </c>
      <c r="G46" s="14" t="s">
        <v>32</v>
      </c>
      <c r="H46" s="14">
        <v>5210100008</v>
      </c>
      <c r="I46" s="14" t="s">
        <v>78</v>
      </c>
      <c r="J46" s="14" t="s">
        <v>79</v>
      </c>
      <c r="K46" s="15">
        <v>45012</v>
      </c>
      <c r="L46" s="16">
        <v>9.93</v>
      </c>
      <c r="M46" s="1" t="s">
        <v>54</v>
      </c>
      <c r="N46" s="3" t="s">
        <v>143</v>
      </c>
      <c r="O46" s="1" t="s">
        <v>70</v>
      </c>
    </row>
    <row r="47" spans="1:15" ht="17.100000000000001" customHeight="1" x14ac:dyDescent="0.3">
      <c r="A47" s="3" t="str">
        <f t="shared" si="0"/>
        <v>4600018698C/ PROTOCOLO</v>
      </c>
      <c r="B47" s="14" t="s">
        <v>33</v>
      </c>
      <c r="C47" s="14">
        <v>4600018698</v>
      </c>
      <c r="D47" s="14">
        <v>20</v>
      </c>
      <c r="E47" s="14">
        <v>4707793</v>
      </c>
      <c r="F47" s="14">
        <v>4170</v>
      </c>
      <c r="G47" s="14" t="s">
        <v>32</v>
      </c>
      <c r="H47" s="14">
        <v>5210100008</v>
      </c>
      <c r="I47" s="14" t="s">
        <v>78</v>
      </c>
      <c r="J47" s="14" t="s">
        <v>79</v>
      </c>
      <c r="K47" s="15">
        <v>45030</v>
      </c>
      <c r="L47" s="16">
        <v>6.56</v>
      </c>
      <c r="M47" s="1" t="s">
        <v>55</v>
      </c>
      <c r="N47" s="3" t="s">
        <v>43</v>
      </c>
      <c r="O47" s="1" t="s">
        <v>70</v>
      </c>
    </row>
    <row r="48" spans="1:15" ht="17.100000000000001" customHeight="1" x14ac:dyDescent="0.3">
      <c r="A48" s="3" t="str">
        <f t="shared" si="0"/>
        <v>4600019056C/ PROTOCOLO</v>
      </c>
      <c r="B48" s="14" t="s">
        <v>33</v>
      </c>
      <c r="C48" s="14">
        <v>4600019056</v>
      </c>
      <c r="D48" s="14">
        <v>20</v>
      </c>
      <c r="E48" s="14">
        <v>4003908</v>
      </c>
      <c r="F48" s="14">
        <v>1760</v>
      </c>
      <c r="G48" s="14" t="s">
        <v>32</v>
      </c>
      <c r="H48" s="14">
        <v>5210100008</v>
      </c>
      <c r="I48" s="14" t="s">
        <v>78</v>
      </c>
      <c r="J48" s="14" t="s">
        <v>79</v>
      </c>
      <c r="K48" s="15">
        <v>45094</v>
      </c>
      <c r="L48" s="16">
        <v>4.8499999999999996</v>
      </c>
      <c r="M48" s="1" t="s">
        <v>85</v>
      </c>
      <c r="N48" s="3" t="s">
        <v>118</v>
      </c>
      <c r="O48" s="1" t="s">
        <v>70</v>
      </c>
    </row>
    <row r="49" spans="1:15" ht="17.100000000000001" customHeight="1" x14ac:dyDescent="0.3">
      <c r="A49" s="3" t="str">
        <f t="shared" si="0"/>
        <v>4600013391S/ PROTOCOLO</v>
      </c>
      <c r="B49" s="14" t="s">
        <v>33</v>
      </c>
      <c r="C49" s="14">
        <v>4600013391</v>
      </c>
      <c r="D49" s="14">
        <v>20</v>
      </c>
      <c r="E49" s="14">
        <v>4701044</v>
      </c>
      <c r="F49" s="14">
        <v>1780</v>
      </c>
      <c r="G49" s="14" t="s">
        <v>32</v>
      </c>
      <c r="H49" s="14">
        <v>5210100009</v>
      </c>
      <c r="I49" s="14" t="s">
        <v>80</v>
      </c>
      <c r="J49" s="14" t="s">
        <v>79</v>
      </c>
      <c r="K49" s="15">
        <v>44193</v>
      </c>
      <c r="L49" s="16">
        <v>4.2699999999999996</v>
      </c>
      <c r="M49" s="1" t="s">
        <v>47</v>
      </c>
      <c r="N49" s="3" t="s">
        <v>145</v>
      </c>
      <c r="O49" s="1" t="s">
        <v>69</v>
      </c>
    </row>
    <row r="50" spans="1:15" ht="17.100000000000001" customHeight="1" x14ac:dyDescent="0.3">
      <c r="A50" s="3" t="str">
        <f t="shared" si="0"/>
        <v>4600013392S/ PROTOCOLO</v>
      </c>
      <c r="B50" s="14" t="s">
        <v>33</v>
      </c>
      <c r="C50" s="14">
        <v>4600013392</v>
      </c>
      <c r="D50" s="14">
        <v>20</v>
      </c>
      <c r="E50" s="14">
        <v>4003616</v>
      </c>
      <c r="F50" s="14">
        <v>1820</v>
      </c>
      <c r="G50" s="14" t="s">
        <v>32</v>
      </c>
      <c r="H50" s="14">
        <v>5210100009</v>
      </c>
      <c r="I50" s="14" t="s">
        <v>80</v>
      </c>
      <c r="J50" s="14" t="s">
        <v>79</v>
      </c>
      <c r="K50" s="15">
        <v>44193</v>
      </c>
      <c r="L50" s="16">
        <v>5.29</v>
      </c>
      <c r="M50" s="1" t="s">
        <v>48</v>
      </c>
      <c r="N50" s="3" t="s">
        <v>40</v>
      </c>
      <c r="O50" s="1" t="s">
        <v>69</v>
      </c>
    </row>
    <row r="51" spans="1:15" ht="17.100000000000001" customHeight="1" x14ac:dyDescent="0.3">
      <c r="A51" s="3" t="str">
        <f t="shared" si="0"/>
        <v>4600013393S/ PROTOCOLO</v>
      </c>
      <c r="B51" s="14" t="s">
        <v>33</v>
      </c>
      <c r="C51" s="14">
        <v>4600013393</v>
      </c>
      <c r="D51" s="14">
        <v>20</v>
      </c>
      <c r="E51" s="14">
        <v>4701044</v>
      </c>
      <c r="F51" s="14">
        <v>1820</v>
      </c>
      <c r="G51" s="14" t="s">
        <v>32</v>
      </c>
      <c r="H51" s="14">
        <v>5210100009</v>
      </c>
      <c r="I51" s="14" t="s">
        <v>80</v>
      </c>
      <c r="J51" s="14" t="s">
        <v>79</v>
      </c>
      <c r="K51" s="15">
        <v>44193</v>
      </c>
      <c r="L51" s="16">
        <v>5.58</v>
      </c>
      <c r="M51" s="1" t="s">
        <v>47</v>
      </c>
      <c r="N51" s="3" t="s">
        <v>145</v>
      </c>
      <c r="O51" s="1" t="s">
        <v>69</v>
      </c>
    </row>
    <row r="52" spans="1:15" ht="17.100000000000001" customHeight="1" x14ac:dyDescent="0.3">
      <c r="A52" s="3" t="str">
        <f t="shared" si="0"/>
        <v>4600013394S/ PROTOCOLO</v>
      </c>
      <c r="B52" s="14" t="s">
        <v>33</v>
      </c>
      <c r="C52" s="14">
        <v>4600013394</v>
      </c>
      <c r="D52" s="14">
        <v>20</v>
      </c>
      <c r="E52" s="14">
        <v>4700980</v>
      </c>
      <c r="F52" s="14">
        <v>1830</v>
      </c>
      <c r="G52" s="14" t="s">
        <v>32</v>
      </c>
      <c r="H52" s="14">
        <v>5210100009</v>
      </c>
      <c r="I52" s="14" t="s">
        <v>80</v>
      </c>
      <c r="J52" s="14" t="s">
        <v>79</v>
      </c>
      <c r="K52" s="15">
        <v>44193</v>
      </c>
      <c r="L52" s="16">
        <v>4.12</v>
      </c>
      <c r="M52" s="1" t="s">
        <v>47</v>
      </c>
      <c r="N52" s="3" t="s">
        <v>145</v>
      </c>
      <c r="O52" s="1" t="s">
        <v>69</v>
      </c>
    </row>
    <row r="53" spans="1:15" ht="17.100000000000001" customHeight="1" x14ac:dyDescent="0.3">
      <c r="A53" s="3" t="str">
        <f t="shared" si="0"/>
        <v>4600014941S/ PROTOCOLO</v>
      </c>
      <c r="B53" s="14" t="s">
        <v>33</v>
      </c>
      <c r="C53" s="14">
        <v>4600014941</v>
      </c>
      <c r="D53" s="14">
        <v>20</v>
      </c>
      <c r="E53" s="14">
        <v>4706069</v>
      </c>
      <c r="F53" s="14">
        <v>3310</v>
      </c>
      <c r="G53" s="14" t="s">
        <v>32</v>
      </c>
      <c r="H53" s="14">
        <v>5210100009</v>
      </c>
      <c r="I53" s="14" t="s">
        <v>80</v>
      </c>
      <c r="J53" s="14" t="s">
        <v>79</v>
      </c>
      <c r="K53" s="15">
        <v>44466</v>
      </c>
      <c r="L53" s="16">
        <v>3.03</v>
      </c>
      <c r="M53" s="1" t="s">
        <v>84</v>
      </c>
      <c r="N53" s="3" t="s">
        <v>125</v>
      </c>
      <c r="O53" s="1" t="s">
        <v>69</v>
      </c>
    </row>
    <row r="54" spans="1:15" ht="17.100000000000001" customHeight="1" x14ac:dyDescent="0.3">
      <c r="A54" s="3" t="str">
        <f t="shared" si="0"/>
        <v>4600014941S/ PROTOCOLO</v>
      </c>
      <c r="B54" s="14" t="s">
        <v>33</v>
      </c>
      <c r="C54" s="14">
        <v>4600014941</v>
      </c>
      <c r="D54" s="14">
        <v>20</v>
      </c>
      <c r="E54" s="14">
        <v>4706069</v>
      </c>
      <c r="F54" s="14">
        <v>6020</v>
      </c>
      <c r="G54" s="14" t="s">
        <v>32</v>
      </c>
      <c r="H54" s="14">
        <v>5210100009</v>
      </c>
      <c r="I54" s="14" t="s">
        <v>80</v>
      </c>
      <c r="J54" s="14" t="s">
        <v>79</v>
      </c>
      <c r="K54" s="15">
        <v>44466</v>
      </c>
      <c r="L54" s="16">
        <v>4.1500000000000004</v>
      </c>
      <c r="M54" s="1" t="s">
        <v>84</v>
      </c>
      <c r="N54" s="3" t="s">
        <v>125</v>
      </c>
      <c r="O54" s="1" t="s">
        <v>69</v>
      </c>
    </row>
    <row r="55" spans="1:15" ht="17.100000000000001" customHeight="1" x14ac:dyDescent="0.3">
      <c r="A55" s="3" t="str">
        <f t="shared" si="0"/>
        <v>4600015293S/ PROTOCOLO</v>
      </c>
      <c r="B55" s="14" t="s">
        <v>33</v>
      </c>
      <c r="C55" s="14">
        <v>4600015293</v>
      </c>
      <c r="D55" s="14">
        <v>20</v>
      </c>
      <c r="E55" s="14">
        <v>4706893</v>
      </c>
      <c r="F55" s="14">
        <v>3500</v>
      </c>
      <c r="G55" s="14" t="s">
        <v>32</v>
      </c>
      <c r="H55" s="14">
        <v>5210100009</v>
      </c>
      <c r="I55" s="14" t="s">
        <v>80</v>
      </c>
      <c r="J55" s="14" t="s">
        <v>79</v>
      </c>
      <c r="K55" s="15">
        <v>44503</v>
      </c>
      <c r="L55" s="16">
        <v>5.43</v>
      </c>
      <c r="M55" s="1" t="s">
        <v>53</v>
      </c>
      <c r="N55" s="3" t="s">
        <v>45</v>
      </c>
      <c r="O55" s="1" t="s">
        <v>69</v>
      </c>
    </row>
    <row r="56" spans="1:15" ht="17.100000000000001" customHeight="1" x14ac:dyDescent="0.3">
      <c r="A56" s="3" t="str">
        <f t="shared" si="0"/>
        <v>4600018170S/ PROTOCOLO</v>
      </c>
      <c r="B56" s="14" t="s">
        <v>33</v>
      </c>
      <c r="C56" s="14">
        <v>4600018170</v>
      </c>
      <c r="D56" s="14">
        <v>20</v>
      </c>
      <c r="E56" s="14">
        <v>4703020</v>
      </c>
      <c r="F56" s="14">
        <v>1730</v>
      </c>
      <c r="G56" s="14" t="s">
        <v>32</v>
      </c>
      <c r="H56" s="14">
        <v>5210100009</v>
      </c>
      <c r="I56" s="14" t="s">
        <v>80</v>
      </c>
      <c r="J56" s="14" t="s">
        <v>79</v>
      </c>
      <c r="K56" s="15">
        <v>45012</v>
      </c>
      <c r="L56" s="16">
        <v>4.1500000000000004</v>
      </c>
      <c r="M56" s="1" t="s">
        <v>54</v>
      </c>
      <c r="N56" s="3" t="s">
        <v>143</v>
      </c>
      <c r="O56" s="1" t="s">
        <v>69</v>
      </c>
    </row>
    <row r="57" spans="1:15" ht="17.100000000000001" customHeight="1" x14ac:dyDescent="0.3">
      <c r="A57" s="3" t="str">
        <f t="shared" si="0"/>
        <v>4600018698S/ PROTOCOLO</v>
      </c>
      <c r="B57" s="14" t="s">
        <v>33</v>
      </c>
      <c r="C57" s="14">
        <v>4600018698</v>
      </c>
      <c r="D57" s="14">
        <v>20</v>
      </c>
      <c r="E57" s="14">
        <v>4707793</v>
      </c>
      <c r="F57" s="14">
        <v>2450</v>
      </c>
      <c r="G57" s="14" t="s">
        <v>32</v>
      </c>
      <c r="H57" s="14">
        <v>5210100009</v>
      </c>
      <c r="I57" s="14" t="s">
        <v>80</v>
      </c>
      <c r="J57" s="14" t="s">
        <v>79</v>
      </c>
      <c r="K57" s="15">
        <v>45030</v>
      </c>
      <c r="L57" s="16">
        <v>32.299999999999997</v>
      </c>
      <c r="M57" s="1" t="s">
        <v>55</v>
      </c>
      <c r="N57" s="3" t="s">
        <v>43</v>
      </c>
      <c r="O57" s="1" t="s">
        <v>69</v>
      </c>
    </row>
    <row r="58" spans="1:15" ht="17.100000000000001" customHeight="1" x14ac:dyDescent="0.3">
      <c r="A58" s="3" t="str">
        <f t="shared" si="0"/>
        <v>4600019056S/ PROTOCOLO</v>
      </c>
      <c r="B58" s="14" t="s">
        <v>33</v>
      </c>
      <c r="C58" s="14">
        <v>4600019056</v>
      </c>
      <c r="D58" s="14">
        <v>20</v>
      </c>
      <c r="E58" s="14">
        <v>4003908</v>
      </c>
      <c r="F58" s="14">
        <v>80</v>
      </c>
      <c r="G58" s="14" t="s">
        <v>32</v>
      </c>
      <c r="H58" s="14">
        <v>5210100009</v>
      </c>
      <c r="I58" s="14" t="s">
        <v>80</v>
      </c>
      <c r="J58" s="14" t="s">
        <v>79</v>
      </c>
      <c r="K58" s="15">
        <v>45094</v>
      </c>
      <c r="L58" s="16">
        <v>5.45</v>
      </c>
      <c r="M58" s="1" t="s">
        <v>85</v>
      </c>
      <c r="N58" s="3" t="s">
        <v>118</v>
      </c>
      <c r="O58" s="1" t="s">
        <v>69</v>
      </c>
    </row>
    <row r="59" spans="1:15" ht="17.100000000000001" customHeight="1" x14ac:dyDescent="0.3">
      <c r="A59" s="3" t="str">
        <f t="shared" si="0"/>
        <v>4600010623C/ PROTOCOLO</v>
      </c>
      <c r="B59" s="14" t="s">
        <v>33</v>
      </c>
      <c r="C59" s="14">
        <v>4600010623</v>
      </c>
      <c r="D59" s="14">
        <v>50</v>
      </c>
      <c r="E59" s="14">
        <v>4700980</v>
      </c>
      <c r="F59" s="14">
        <v>980</v>
      </c>
      <c r="G59" s="14" t="s">
        <v>32</v>
      </c>
      <c r="H59" s="14">
        <v>5210100008</v>
      </c>
      <c r="I59" s="14" t="s">
        <v>78</v>
      </c>
      <c r="J59" s="14" t="s">
        <v>79</v>
      </c>
      <c r="K59" s="15">
        <v>43741</v>
      </c>
      <c r="L59" s="16">
        <v>2.84</v>
      </c>
      <c r="M59" s="1" t="s">
        <v>47</v>
      </c>
      <c r="N59" s="3" t="s">
        <v>145</v>
      </c>
      <c r="O59" s="1" t="s">
        <v>70</v>
      </c>
    </row>
    <row r="60" spans="1:15" ht="17.100000000000001" customHeight="1" x14ac:dyDescent="0.3">
      <c r="A60" s="3" t="str">
        <f t="shared" si="0"/>
        <v>4600010623C/ PROTOCOLO</v>
      </c>
      <c r="B60" s="14" t="s">
        <v>33</v>
      </c>
      <c r="C60" s="14">
        <v>4600010623</v>
      </c>
      <c r="D60" s="14">
        <v>50</v>
      </c>
      <c r="E60" s="14">
        <v>4700980</v>
      </c>
      <c r="F60" s="14">
        <v>1930</v>
      </c>
      <c r="G60" s="14" t="s">
        <v>32</v>
      </c>
      <c r="H60" s="14">
        <v>5210100008</v>
      </c>
      <c r="I60" s="14" t="s">
        <v>78</v>
      </c>
      <c r="J60" s="14" t="s">
        <v>79</v>
      </c>
      <c r="K60" s="15">
        <v>43741</v>
      </c>
      <c r="L60" s="16">
        <v>2.84</v>
      </c>
      <c r="M60" s="1" t="s">
        <v>47</v>
      </c>
      <c r="N60" s="3" t="s">
        <v>145</v>
      </c>
      <c r="O60" s="1" t="s">
        <v>70</v>
      </c>
    </row>
    <row r="61" spans="1:15" ht="17.100000000000001" customHeight="1" x14ac:dyDescent="0.3">
      <c r="A61" s="3" t="str">
        <f t="shared" si="0"/>
        <v>4600010623C/ PROTOCOLO</v>
      </c>
      <c r="B61" s="14" t="s">
        <v>33</v>
      </c>
      <c r="C61" s="14">
        <v>4600010623</v>
      </c>
      <c r="D61" s="14">
        <v>50</v>
      </c>
      <c r="E61" s="14">
        <v>4700980</v>
      </c>
      <c r="F61" s="14">
        <v>2010</v>
      </c>
      <c r="G61" s="14" t="s">
        <v>32</v>
      </c>
      <c r="H61" s="14">
        <v>5210100008</v>
      </c>
      <c r="I61" s="14" t="s">
        <v>78</v>
      </c>
      <c r="J61" s="14" t="s">
        <v>79</v>
      </c>
      <c r="K61" s="15">
        <v>43741</v>
      </c>
      <c r="L61" s="16">
        <v>2.84</v>
      </c>
      <c r="M61" s="1" t="s">
        <v>47</v>
      </c>
      <c r="N61" s="3" t="s">
        <v>145</v>
      </c>
      <c r="O61" s="1" t="s">
        <v>70</v>
      </c>
    </row>
    <row r="62" spans="1:15" ht="17.100000000000001" customHeight="1" x14ac:dyDescent="0.3">
      <c r="A62" s="3" t="str">
        <f t="shared" si="0"/>
        <v>4600010987C/ PROTOCOLO</v>
      </c>
      <c r="B62" s="14" t="s">
        <v>33</v>
      </c>
      <c r="C62" s="14">
        <v>4600010987</v>
      </c>
      <c r="D62" s="14">
        <v>50</v>
      </c>
      <c r="E62" s="14">
        <v>4701044</v>
      </c>
      <c r="F62" s="14">
        <v>1690</v>
      </c>
      <c r="G62" s="14" t="s">
        <v>32</v>
      </c>
      <c r="H62" s="14">
        <v>5210100008</v>
      </c>
      <c r="I62" s="14" t="s">
        <v>78</v>
      </c>
      <c r="J62" s="14" t="s">
        <v>79</v>
      </c>
      <c r="K62" s="15">
        <v>43745</v>
      </c>
      <c r="L62" s="16">
        <v>1.1000000000000001</v>
      </c>
      <c r="M62" s="1" t="s">
        <v>47</v>
      </c>
      <c r="N62" s="3" t="s">
        <v>145</v>
      </c>
      <c r="O62" s="1" t="s">
        <v>70</v>
      </c>
    </row>
    <row r="63" spans="1:15" ht="17.100000000000001" customHeight="1" x14ac:dyDescent="0.3">
      <c r="A63" s="3" t="str">
        <f t="shared" si="0"/>
        <v>4600010987C/ PROTOCOLO</v>
      </c>
      <c r="B63" s="14" t="s">
        <v>33</v>
      </c>
      <c r="C63" s="14">
        <v>4600010987</v>
      </c>
      <c r="D63" s="14">
        <v>50</v>
      </c>
      <c r="E63" s="14">
        <v>4701044</v>
      </c>
      <c r="F63" s="14">
        <v>1810</v>
      </c>
      <c r="H63" s="14">
        <v>5210100008</v>
      </c>
      <c r="I63" s="14" t="s">
        <v>78</v>
      </c>
      <c r="J63" s="14" t="s">
        <v>79</v>
      </c>
      <c r="K63" s="15">
        <v>43745</v>
      </c>
      <c r="L63" s="16">
        <v>1.1000000000000001</v>
      </c>
      <c r="M63" s="1" t="s">
        <v>47</v>
      </c>
      <c r="N63" s="3" t="s">
        <v>145</v>
      </c>
      <c r="O63" s="1" t="s">
        <v>70</v>
      </c>
    </row>
    <row r="64" spans="1:15" ht="17.100000000000001" customHeight="1" x14ac:dyDescent="0.3">
      <c r="A64" s="3" t="str">
        <f t="shared" si="0"/>
        <v>4600010996C/ PROTOCOLO</v>
      </c>
      <c r="B64" s="14" t="s">
        <v>33</v>
      </c>
      <c r="C64" s="14">
        <v>4600010996</v>
      </c>
      <c r="D64" s="14">
        <v>50</v>
      </c>
      <c r="E64" s="14">
        <v>4701044</v>
      </c>
      <c r="F64" s="14">
        <v>950</v>
      </c>
      <c r="H64" s="14">
        <v>5210100008</v>
      </c>
      <c r="I64" s="14" t="s">
        <v>78</v>
      </c>
      <c r="J64" s="14" t="s">
        <v>79</v>
      </c>
      <c r="K64" s="15">
        <v>43747</v>
      </c>
      <c r="L64" s="16">
        <v>2.84</v>
      </c>
      <c r="M64" s="1" t="s">
        <v>47</v>
      </c>
      <c r="N64" s="3" t="s">
        <v>145</v>
      </c>
      <c r="O64" s="1" t="s">
        <v>70</v>
      </c>
    </row>
    <row r="65" spans="1:15" ht="17.100000000000001" customHeight="1" x14ac:dyDescent="0.3">
      <c r="A65" s="3" t="str">
        <f t="shared" si="0"/>
        <v>4600011000C/ PROTOCOLO</v>
      </c>
      <c r="B65" s="14" t="s">
        <v>33</v>
      </c>
      <c r="C65" s="14">
        <v>4600011000</v>
      </c>
      <c r="D65" s="14">
        <v>50</v>
      </c>
      <c r="E65" s="14">
        <v>4003616</v>
      </c>
      <c r="F65" s="14">
        <v>940</v>
      </c>
      <c r="H65" s="14">
        <v>5210100008</v>
      </c>
      <c r="I65" s="14" t="s">
        <v>78</v>
      </c>
      <c r="J65" s="14" t="s">
        <v>79</v>
      </c>
      <c r="K65" s="15">
        <v>43747</v>
      </c>
      <c r="L65" s="16">
        <v>0</v>
      </c>
      <c r="M65" s="1" t="s">
        <v>48</v>
      </c>
      <c r="N65" s="3" t="s">
        <v>40</v>
      </c>
      <c r="O65" s="1" t="s">
        <v>70</v>
      </c>
    </row>
    <row r="66" spans="1:15" ht="17.100000000000001" customHeight="1" x14ac:dyDescent="0.3">
      <c r="A66" s="3" t="str">
        <f t="shared" si="0"/>
        <v>4600011000C/ PROTOCOLO</v>
      </c>
      <c r="B66" s="14" t="s">
        <v>33</v>
      </c>
      <c r="C66" s="14">
        <v>4600011000</v>
      </c>
      <c r="D66" s="14">
        <v>110</v>
      </c>
      <c r="E66" s="14">
        <v>4003616</v>
      </c>
      <c r="F66" s="14">
        <v>940</v>
      </c>
      <c r="H66" s="14">
        <v>5210100008</v>
      </c>
      <c r="I66" s="14" t="s">
        <v>78</v>
      </c>
      <c r="J66" s="14" t="s">
        <v>79</v>
      </c>
      <c r="K66" s="15">
        <v>43747</v>
      </c>
      <c r="L66" s="16">
        <v>2.29</v>
      </c>
      <c r="M66" s="1" t="s">
        <v>48</v>
      </c>
      <c r="N66" s="3" t="s">
        <v>40</v>
      </c>
      <c r="O66" s="1" t="s">
        <v>70</v>
      </c>
    </row>
    <row r="67" spans="1:15" ht="17.100000000000001" customHeight="1" x14ac:dyDescent="0.3">
      <c r="A67" s="3" t="str">
        <f t="shared" ref="A67:A130" si="1">C67&amp;O67</f>
        <v>4600011000C/ PROTOCOLO</v>
      </c>
      <c r="B67" s="14" t="s">
        <v>33</v>
      </c>
      <c r="C67" s="14">
        <v>4600011000</v>
      </c>
      <c r="D67" s="14">
        <v>110</v>
      </c>
      <c r="E67" s="14">
        <v>4003616</v>
      </c>
      <c r="F67" s="14">
        <v>1020</v>
      </c>
      <c r="H67" s="14">
        <v>5210100008</v>
      </c>
      <c r="I67" s="14" t="s">
        <v>78</v>
      </c>
      <c r="J67" s="14" t="s">
        <v>79</v>
      </c>
      <c r="K67" s="15">
        <v>43747</v>
      </c>
      <c r="L67" s="16">
        <v>2.29</v>
      </c>
      <c r="M67" s="1" t="s">
        <v>48</v>
      </c>
      <c r="N67" s="3" t="s">
        <v>40</v>
      </c>
      <c r="O67" s="1" t="s">
        <v>70</v>
      </c>
    </row>
    <row r="68" spans="1:15" ht="17.100000000000001" customHeight="1" x14ac:dyDescent="0.3">
      <c r="A68" s="3" t="str">
        <f t="shared" si="1"/>
        <v>4600010996C/ PROTOCOLO</v>
      </c>
      <c r="B68" s="14" t="s">
        <v>33</v>
      </c>
      <c r="C68" s="14">
        <v>4600010996</v>
      </c>
      <c r="D68" s="14">
        <v>110</v>
      </c>
      <c r="E68" s="14">
        <v>4701044</v>
      </c>
      <c r="F68" s="14">
        <v>930</v>
      </c>
      <c r="H68" s="14">
        <v>5210100008</v>
      </c>
      <c r="I68" s="14" t="s">
        <v>78</v>
      </c>
      <c r="J68" s="14" t="s">
        <v>79</v>
      </c>
      <c r="K68" s="15">
        <v>43747</v>
      </c>
      <c r="L68" s="16">
        <v>2.65</v>
      </c>
      <c r="M68" s="1" t="s">
        <v>47</v>
      </c>
      <c r="N68" s="3" t="s">
        <v>145</v>
      </c>
      <c r="O68" s="1" t="s">
        <v>70</v>
      </c>
    </row>
    <row r="69" spans="1:15" ht="17.100000000000001" customHeight="1" x14ac:dyDescent="0.3">
      <c r="A69" s="3" t="str">
        <f t="shared" si="1"/>
        <v>4600010996C/ PROTOCOLO</v>
      </c>
      <c r="B69" s="14" t="s">
        <v>33</v>
      </c>
      <c r="C69" s="14">
        <v>4600010996</v>
      </c>
      <c r="D69" s="14">
        <v>110</v>
      </c>
      <c r="E69" s="14">
        <v>4701044</v>
      </c>
      <c r="F69" s="14">
        <v>1010</v>
      </c>
      <c r="H69" s="14">
        <v>5210100008</v>
      </c>
      <c r="I69" s="14" t="s">
        <v>78</v>
      </c>
      <c r="J69" s="14" t="s">
        <v>79</v>
      </c>
      <c r="K69" s="15">
        <v>43747</v>
      </c>
      <c r="L69" s="16">
        <v>2.65</v>
      </c>
      <c r="M69" s="1" t="s">
        <v>47</v>
      </c>
      <c r="N69" s="3" t="s">
        <v>145</v>
      </c>
      <c r="O69" s="1" t="s">
        <v>70</v>
      </c>
    </row>
    <row r="70" spans="1:15" ht="17.100000000000001" customHeight="1" x14ac:dyDescent="0.3">
      <c r="A70" s="3" t="str">
        <f t="shared" si="1"/>
        <v>4600010987C/ PROTOCOLO</v>
      </c>
      <c r="B70" s="14" t="s">
        <v>33</v>
      </c>
      <c r="C70" s="14">
        <v>4600010987</v>
      </c>
      <c r="D70" s="14">
        <v>110</v>
      </c>
      <c r="E70" s="14">
        <v>4701044</v>
      </c>
      <c r="F70" s="14">
        <v>770</v>
      </c>
      <c r="H70" s="14">
        <v>5210100008</v>
      </c>
      <c r="I70" s="14" t="s">
        <v>78</v>
      </c>
      <c r="J70" s="14" t="s">
        <v>79</v>
      </c>
      <c r="K70" s="15">
        <v>43745</v>
      </c>
      <c r="L70" s="16">
        <v>3.41</v>
      </c>
      <c r="M70" s="1" t="s">
        <v>47</v>
      </c>
      <c r="N70" s="3" t="s">
        <v>145</v>
      </c>
      <c r="O70" s="1" t="s">
        <v>70</v>
      </c>
    </row>
    <row r="71" spans="1:15" ht="17.100000000000001" customHeight="1" x14ac:dyDescent="0.3">
      <c r="A71" s="3" t="str">
        <f t="shared" si="1"/>
        <v>4600010987C/ PROTOCOLO</v>
      </c>
      <c r="B71" s="14" t="s">
        <v>33</v>
      </c>
      <c r="C71" s="14">
        <v>4600010987</v>
      </c>
      <c r="D71" s="14">
        <v>110</v>
      </c>
      <c r="E71" s="14">
        <v>4701044</v>
      </c>
      <c r="F71" s="14">
        <v>850</v>
      </c>
      <c r="H71" s="14">
        <v>5210100008</v>
      </c>
      <c r="I71" s="14" t="s">
        <v>78</v>
      </c>
      <c r="J71" s="14" t="s">
        <v>79</v>
      </c>
      <c r="K71" s="15">
        <v>43745</v>
      </c>
      <c r="L71" s="16">
        <v>3.41</v>
      </c>
      <c r="M71" s="1" t="s">
        <v>47</v>
      </c>
      <c r="N71" s="3" t="s">
        <v>145</v>
      </c>
      <c r="O71" s="1" t="s">
        <v>70</v>
      </c>
    </row>
    <row r="72" spans="1:15" ht="17.100000000000001" customHeight="1" x14ac:dyDescent="0.3">
      <c r="A72" s="3" t="str">
        <f t="shared" si="1"/>
        <v>4600010623C/ PROTOCOLO</v>
      </c>
      <c r="B72" s="14" t="s">
        <v>33</v>
      </c>
      <c r="C72" s="14">
        <v>4600010623</v>
      </c>
      <c r="D72" s="14">
        <v>110</v>
      </c>
      <c r="E72" s="14">
        <v>4700980</v>
      </c>
      <c r="F72" s="14">
        <v>770</v>
      </c>
      <c r="H72" s="14">
        <v>5210100008</v>
      </c>
      <c r="I72" s="14" t="s">
        <v>78</v>
      </c>
      <c r="J72" s="14" t="s">
        <v>79</v>
      </c>
      <c r="K72" s="15">
        <v>43741</v>
      </c>
      <c r="L72" s="16">
        <v>2.97</v>
      </c>
      <c r="M72" s="1" t="s">
        <v>47</v>
      </c>
      <c r="N72" s="3" t="s">
        <v>145</v>
      </c>
      <c r="O72" s="1" t="s">
        <v>70</v>
      </c>
    </row>
    <row r="73" spans="1:15" ht="17.100000000000001" customHeight="1" x14ac:dyDescent="0.3">
      <c r="A73" s="3" t="str">
        <f t="shared" si="1"/>
        <v>4600010623C/ PROTOCOLO</v>
      </c>
      <c r="B73" s="14" t="s">
        <v>33</v>
      </c>
      <c r="C73" s="14">
        <v>4600010623</v>
      </c>
      <c r="D73" s="14">
        <v>110</v>
      </c>
      <c r="E73" s="14">
        <v>4700980</v>
      </c>
      <c r="F73" s="14">
        <v>850</v>
      </c>
      <c r="H73" s="14">
        <v>5210100008</v>
      </c>
      <c r="I73" s="14" t="s">
        <v>78</v>
      </c>
      <c r="J73" s="14" t="s">
        <v>79</v>
      </c>
      <c r="K73" s="15">
        <v>43741</v>
      </c>
      <c r="L73" s="16">
        <v>2.97</v>
      </c>
      <c r="M73" s="1" t="s">
        <v>47</v>
      </c>
      <c r="N73" s="3" t="s">
        <v>145</v>
      </c>
      <c r="O73" s="1" t="s">
        <v>70</v>
      </c>
    </row>
    <row r="74" spans="1:15" ht="17.100000000000001" customHeight="1" x14ac:dyDescent="0.3">
      <c r="A74" s="3" t="str">
        <f t="shared" si="1"/>
        <v>4600018167C/ PROTOCOLO</v>
      </c>
      <c r="B74" s="14" t="s">
        <v>33</v>
      </c>
      <c r="C74" s="14">
        <v>4600018167</v>
      </c>
      <c r="D74" s="14">
        <v>110</v>
      </c>
      <c r="E74" s="14">
        <v>4703020</v>
      </c>
      <c r="F74" s="14">
        <v>680</v>
      </c>
      <c r="H74" s="14">
        <v>5210100008</v>
      </c>
      <c r="I74" s="14" t="s">
        <v>78</v>
      </c>
      <c r="J74" s="14" t="s">
        <v>79</v>
      </c>
      <c r="K74" s="15">
        <v>45012</v>
      </c>
      <c r="L74" s="16">
        <v>2.2999999999999998</v>
      </c>
      <c r="M74" s="1" t="s">
        <v>54</v>
      </c>
      <c r="N74" s="3" t="s">
        <v>143</v>
      </c>
      <c r="O74" s="1" t="s">
        <v>70</v>
      </c>
    </row>
    <row r="75" spans="1:15" ht="17.100000000000001" customHeight="1" x14ac:dyDescent="0.3">
      <c r="A75" s="3" t="str">
        <f t="shared" si="1"/>
        <v>4600024692S/ PROTOCOLO</v>
      </c>
      <c r="B75" s="14" t="s">
        <v>33</v>
      </c>
      <c r="C75" s="14">
        <v>4600024692</v>
      </c>
      <c r="D75" s="14">
        <v>130</v>
      </c>
      <c r="E75" s="14">
        <v>4700980</v>
      </c>
      <c r="F75" s="14">
        <v>2540</v>
      </c>
      <c r="H75" s="14">
        <v>5024000070</v>
      </c>
      <c r="I75" s="14" t="s">
        <v>75</v>
      </c>
      <c r="J75" s="14" t="s">
        <v>76</v>
      </c>
      <c r="K75" s="15">
        <v>45660</v>
      </c>
      <c r="L75" s="16">
        <v>5.93</v>
      </c>
      <c r="M75" s="1" t="s">
        <v>47</v>
      </c>
      <c r="N75" s="3" t="s">
        <v>145</v>
      </c>
      <c r="O75" s="1" t="s">
        <v>69</v>
      </c>
    </row>
    <row r="76" spans="1:15" ht="17.100000000000001" customHeight="1" x14ac:dyDescent="0.3">
      <c r="A76" s="3" t="str">
        <f t="shared" si="1"/>
        <v>4600024693S/ PROTOCOLO</v>
      </c>
      <c r="B76" s="14" t="s">
        <v>33</v>
      </c>
      <c r="C76" s="14">
        <v>4600024693</v>
      </c>
      <c r="D76" s="14">
        <v>130</v>
      </c>
      <c r="E76" s="14">
        <v>4701044</v>
      </c>
      <c r="F76" s="14">
        <v>2540</v>
      </c>
      <c r="H76" s="14">
        <v>5024000070</v>
      </c>
      <c r="I76" s="14" t="s">
        <v>75</v>
      </c>
      <c r="J76" s="14" t="s">
        <v>76</v>
      </c>
      <c r="K76" s="15">
        <v>45660</v>
      </c>
      <c r="L76" s="16">
        <v>5.57</v>
      </c>
      <c r="M76" s="1" t="s">
        <v>47</v>
      </c>
      <c r="N76" s="3" t="s">
        <v>145</v>
      </c>
      <c r="O76" s="1" t="s">
        <v>69</v>
      </c>
    </row>
    <row r="77" spans="1:15" ht="17.100000000000001" customHeight="1" x14ac:dyDescent="0.3">
      <c r="A77" s="3" t="str">
        <f t="shared" si="1"/>
        <v>4600025394S/ PROTOCOLO</v>
      </c>
      <c r="B77" s="14" t="s">
        <v>33</v>
      </c>
      <c r="C77" s="14">
        <v>4600025394</v>
      </c>
      <c r="D77" s="14">
        <v>130</v>
      </c>
      <c r="E77" s="14">
        <v>4709594</v>
      </c>
      <c r="F77" s="14">
        <v>2570</v>
      </c>
      <c r="H77" s="14">
        <v>5024000070</v>
      </c>
      <c r="I77" s="14" t="s">
        <v>75</v>
      </c>
      <c r="J77" s="14" t="s">
        <v>76</v>
      </c>
      <c r="K77" s="15">
        <v>45708</v>
      </c>
      <c r="L77" s="16">
        <v>6.59</v>
      </c>
      <c r="M77" s="1" t="s">
        <v>82</v>
      </c>
      <c r="N77" s="3" t="s">
        <v>145</v>
      </c>
      <c r="O77" s="1" t="s">
        <v>69</v>
      </c>
    </row>
    <row r="78" spans="1:15" ht="17.100000000000001" customHeight="1" x14ac:dyDescent="0.3">
      <c r="A78" s="3" t="str">
        <f t="shared" si="1"/>
        <v>4600024692C/ PROTOCOLO</v>
      </c>
      <c r="B78" s="14" t="s">
        <v>33</v>
      </c>
      <c r="C78" s="14">
        <v>4600024692</v>
      </c>
      <c r="D78" s="14">
        <v>130</v>
      </c>
      <c r="E78" s="14">
        <v>4700980</v>
      </c>
      <c r="F78" s="14">
        <v>2550</v>
      </c>
      <c r="H78" s="14">
        <v>5024000071</v>
      </c>
      <c r="I78" s="14" t="s">
        <v>77</v>
      </c>
      <c r="J78" s="14" t="s">
        <v>76</v>
      </c>
      <c r="K78" s="15">
        <v>45660</v>
      </c>
      <c r="L78" s="16">
        <v>6.93</v>
      </c>
      <c r="M78" s="1" t="s">
        <v>47</v>
      </c>
      <c r="N78" s="3" t="s">
        <v>145</v>
      </c>
      <c r="O78" s="1" t="s">
        <v>70</v>
      </c>
    </row>
    <row r="79" spans="1:15" ht="17.100000000000001" customHeight="1" x14ac:dyDescent="0.3">
      <c r="A79" s="3" t="str">
        <f t="shared" si="1"/>
        <v>4600024693C/ PROTOCOLO</v>
      </c>
      <c r="B79" s="14" t="s">
        <v>33</v>
      </c>
      <c r="C79" s="14">
        <v>4600024693</v>
      </c>
      <c r="D79" s="14">
        <v>130</v>
      </c>
      <c r="E79" s="14">
        <v>4701044</v>
      </c>
      <c r="F79" s="14">
        <v>2550</v>
      </c>
      <c r="H79" s="14">
        <v>5024000071</v>
      </c>
      <c r="I79" s="14" t="s">
        <v>77</v>
      </c>
      <c r="J79" s="14" t="s">
        <v>76</v>
      </c>
      <c r="K79" s="15">
        <v>45660</v>
      </c>
      <c r="L79" s="16">
        <v>6.52</v>
      </c>
      <c r="M79" s="1" t="s">
        <v>47</v>
      </c>
      <c r="N79" s="3" t="s">
        <v>145</v>
      </c>
      <c r="O79" s="1" t="s">
        <v>70</v>
      </c>
    </row>
    <row r="80" spans="1:15" ht="17.100000000000001" customHeight="1" x14ac:dyDescent="0.3">
      <c r="A80" s="3" t="str">
        <f t="shared" si="1"/>
        <v>4600025394C/ PROTOCOLO</v>
      </c>
      <c r="B80" s="14" t="s">
        <v>33</v>
      </c>
      <c r="C80" s="14">
        <v>4600025394</v>
      </c>
      <c r="D80" s="14">
        <v>130</v>
      </c>
      <c r="E80" s="14">
        <v>4709594</v>
      </c>
      <c r="F80" s="14">
        <v>2580</v>
      </c>
      <c r="H80" s="14">
        <v>5024000071</v>
      </c>
      <c r="I80" s="14" t="s">
        <v>77</v>
      </c>
      <c r="J80" s="14" t="s">
        <v>76</v>
      </c>
      <c r="K80" s="15">
        <v>45708</v>
      </c>
      <c r="L80" s="16">
        <v>7.71</v>
      </c>
      <c r="M80" s="1" t="s">
        <v>82</v>
      </c>
      <c r="N80" s="3" t="s">
        <v>145</v>
      </c>
      <c r="O80" s="1" t="s">
        <v>70</v>
      </c>
    </row>
    <row r="81" spans="1:15" ht="17.100000000000001" customHeight="1" x14ac:dyDescent="0.3">
      <c r="A81" s="3" t="str">
        <f t="shared" si="1"/>
        <v>4600018167C/ PROTOCOLO</v>
      </c>
      <c r="B81" s="14" t="s">
        <v>33</v>
      </c>
      <c r="C81" s="14">
        <v>4600018167</v>
      </c>
      <c r="D81" s="14">
        <v>130</v>
      </c>
      <c r="E81" s="14">
        <v>4703020</v>
      </c>
      <c r="F81" s="14">
        <v>1330</v>
      </c>
      <c r="H81" s="14">
        <v>5210100008</v>
      </c>
      <c r="I81" s="14" t="s">
        <v>78</v>
      </c>
      <c r="J81" s="14" t="s">
        <v>79</v>
      </c>
      <c r="K81" s="15">
        <v>45012</v>
      </c>
      <c r="L81" s="16">
        <v>9.74</v>
      </c>
      <c r="M81" s="1" t="s">
        <v>54</v>
      </c>
      <c r="N81" s="3" t="s">
        <v>143</v>
      </c>
      <c r="O81" s="1" t="s">
        <v>70</v>
      </c>
    </row>
    <row r="82" spans="1:15" ht="17.100000000000001" customHeight="1" x14ac:dyDescent="0.3">
      <c r="A82" s="3" t="str">
        <f t="shared" si="1"/>
        <v>4600010623C/ PROTOCOLO</v>
      </c>
      <c r="B82" s="14" t="s">
        <v>33</v>
      </c>
      <c r="C82" s="14">
        <v>4600010623</v>
      </c>
      <c r="D82" s="14">
        <v>130</v>
      </c>
      <c r="E82" s="14">
        <v>4700980</v>
      </c>
      <c r="F82" s="14">
        <v>1610</v>
      </c>
      <c r="H82" s="14">
        <v>5210100008</v>
      </c>
      <c r="I82" s="14" t="s">
        <v>78</v>
      </c>
      <c r="J82" s="14" t="s">
        <v>79</v>
      </c>
      <c r="K82" s="15">
        <v>43741</v>
      </c>
      <c r="L82" s="16">
        <v>8.06</v>
      </c>
      <c r="M82" s="1" t="s">
        <v>47</v>
      </c>
      <c r="N82" s="3" t="s">
        <v>145</v>
      </c>
      <c r="O82" s="1" t="s">
        <v>70</v>
      </c>
    </row>
    <row r="83" spans="1:15" ht="17.100000000000001" customHeight="1" x14ac:dyDescent="0.3">
      <c r="A83" s="3" t="str">
        <f t="shared" si="1"/>
        <v>4600011000C/ PROTOCOLO</v>
      </c>
      <c r="B83" s="14" t="s">
        <v>33</v>
      </c>
      <c r="C83" s="14">
        <v>4600011000</v>
      </c>
      <c r="D83" s="14">
        <v>130</v>
      </c>
      <c r="E83" s="14">
        <v>4003616</v>
      </c>
      <c r="F83" s="14">
        <v>1360</v>
      </c>
      <c r="H83" s="14">
        <v>5210100008</v>
      </c>
      <c r="I83" s="14" t="s">
        <v>78</v>
      </c>
      <c r="J83" s="14" t="s">
        <v>79</v>
      </c>
      <c r="K83" s="15">
        <v>43747</v>
      </c>
      <c r="L83" s="16">
        <v>7.84</v>
      </c>
      <c r="M83" s="1" t="s">
        <v>48</v>
      </c>
      <c r="N83" s="3" t="s">
        <v>40</v>
      </c>
      <c r="O83" s="1" t="s">
        <v>70</v>
      </c>
    </row>
    <row r="84" spans="1:15" ht="17.100000000000001" customHeight="1" x14ac:dyDescent="0.3">
      <c r="A84" s="3" t="str">
        <f t="shared" si="1"/>
        <v>4600010996C/ PROTOCOLO</v>
      </c>
      <c r="B84" s="14" t="s">
        <v>33</v>
      </c>
      <c r="C84" s="14">
        <v>4600010996</v>
      </c>
      <c r="D84" s="14">
        <v>130</v>
      </c>
      <c r="E84" s="14">
        <v>4701044</v>
      </c>
      <c r="F84" s="14">
        <v>1360</v>
      </c>
      <c r="H84" s="14">
        <v>5210100008</v>
      </c>
      <c r="I84" s="14" t="s">
        <v>78</v>
      </c>
      <c r="J84" s="14" t="s">
        <v>79</v>
      </c>
      <c r="K84" s="15">
        <v>43747</v>
      </c>
      <c r="L84" s="16">
        <v>8.26</v>
      </c>
      <c r="M84" s="1" t="s">
        <v>47</v>
      </c>
      <c r="N84" s="3" t="s">
        <v>145</v>
      </c>
      <c r="O84" s="1" t="s">
        <v>70</v>
      </c>
    </row>
    <row r="85" spans="1:15" ht="17.100000000000001" customHeight="1" x14ac:dyDescent="0.3">
      <c r="A85" s="3" t="str">
        <f t="shared" si="1"/>
        <v>4600010987C/ PROTOCOLO</v>
      </c>
      <c r="B85" s="14" t="s">
        <v>33</v>
      </c>
      <c r="C85" s="14">
        <v>4600010987</v>
      </c>
      <c r="D85" s="14">
        <v>130</v>
      </c>
      <c r="E85" s="14">
        <v>4701044</v>
      </c>
      <c r="F85" s="14">
        <v>1360</v>
      </c>
      <c r="H85" s="14">
        <v>5210100008</v>
      </c>
      <c r="I85" s="14" t="s">
        <v>78</v>
      </c>
      <c r="J85" s="14" t="s">
        <v>79</v>
      </c>
      <c r="K85" s="15">
        <v>43745</v>
      </c>
      <c r="L85" s="16">
        <v>9.1</v>
      </c>
      <c r="M85" s="1" t="s">
        <v>47</v>
      </c>
      <c r="N85" s="3" t="s">
        <v>145</v>
      </c>
      <c r="O85" s="1" t="s">
        <v>70</v>
      </c>
    </row>
    <row r="86" spans="1:15" ht="17.100000000000001" customHeight="1" x14ac:dyDescent="0.3">
      <c r="A86" s="3" t="str">
        <f t="shared" si="1"/>
        <v>4600018167S/ PROTOCOLO</v>
      </c>
      <c r="B86" s="14" t="s">
        <v>33</v>
      </c>
      <c r="C86" s="14">
        <v>4600018167</v>
      </c>
      <c r="D86" s="14">
        <v>130</v>
      </c>
      <c r="E86" s="14">
        <v>4703020</v>
      </c>
      <c r="F86" s="14">
        <v>1340</v>
      </c>
      <c r="H86" s="14">
        <v>5210100009</v>
      </c>
      <c r="I86" s="14" t="s">
        <v>80</v>
      </c>
      <c r="J86" s="14" t="s">
        <v>79</v>
      </c>
      <c r="K86" s="15">
        <v>45012</v>
      </c>
      <c r="L86" s="16">
        <v>4.07</v>
      </c>
      <c r="M86" s="1" t="s">
        <v>54</v>
      </c>
      <c r="N86" s="3" t="s">
        <v>143</v>
      </c>
      <c r="O86" s="1" t="s">
        <v>69</v>
      </c>
    </row>
    <row r="87" spans="1:15" ht="17.100000000000001" customHeight="1" x14ac:dyDescent="0.3">
      <c r="A87" s="3" t="str">
        <f t="shared" si="1"/>
        <v>4600010623S/ PROTOCOLO</v>
      </c>
      <c r="B87" s="14" t="s">
        <v>33</v>
      </c>
      <c r="C87" s="14">
        <v>4600010623</v>
      </c>
      <c r="D87" s="14">
        <v>130</v>
      </c>
      <c r="E87" s="14">
        <v>4700980</v>
      </c>
      <c r="F87" s="14">
        <v>1620</v>
      </c>
      <c r="H87" s="14">
        <v>5210100009</v>
      </c>
      <c r="I87" s="14" t="s">
        <v>80</v>
      </c>
      <c r="J87" s="14" t="s">
        <v>79</v>
      </c>
      <c r="K87" s="15">
        <v>43741</v>
      </c>
      <c r="L87" s="16">
        <v>4.12</v>
      </c>
      <c r="M87" s="1" t="s">
        <v>47</v>
      </c>
      <c r="N87" s="3" t="s">
        <v>145</v>
      </c>
      <c r="O87" s="1" t="s">
        <v>69</v>
      </c>
    </row>
    <row r="88" spans="1:15" ht="17.100000000000001" customHeight="1" x14ac:dyDescent="0.3">
      <c r="A88" s="3" t="str">
        <f t="shared" si="1"/>
        <v>4600011000S/ PROTOCOLO</v>
      </c>
      <c r="B88" s="14" t="s">
        <v>33</v>
      </c>
      <c r="C88" s="14">
        <v>4600011000</v>
      </c>
      <c r="D88" s="14">
        <v>130</v>
      </c>
      <c r="E88" s="14">
        <v>4003616</v>
      </c>
      <c r="F88" s="14">
        <v>1370</v>
      </c>
      <c r="H88" s="14">
        <v>5210100009</v>
      </c>
      <c r="I88" s="14" t="s">
        <v>80</v>
      </c>
      <c r="J88" s="14" t="s">
        <v>79</v>
      </c>
      <c r="K88" s="15">
        <v>43747</v>
      </c>
      <c r="L88" s="16">
        <v>5.29</v>
      </c>
      <c r="M88" s="1" t="s">
        <v>48</v>
      </c>
      <c r="N88" s="3" t="s">
        <v>40</v>
      </c>
      <c r="O88" s="1" t="s">
        <v>69</v>
      </c>
    </row>
    <row r="89" spans="1:15" ht="17.100000000000001" customHeight="1" x14ac:dyDescent="0.3">
      <c r="A89" s="3" t="str">
        <f t="shared" si="1"/>
        <v>4600010996S/ PROTOCOLO</v>
      </c>
      <c r="B89" s="14" t="s">
        <v>33</v>
      </c>
      <c r="C89" s="14">
        <v>4600010996</v>
      </c>
      <c r="D89" s="14">
        <v>130</v>
      </c>
      <c r="E89" s="14">
        <v>4701044</v>
      </c>
      <c r="F89" s="14">
        <v>1370</v>
      </c>
      <c r="H89" s="14">
        <v>5210100009</v>
      </c>
      <c r="I89" s="14" t="s">
        <v>80</v>
      </c>
      <c r="J89" s="14" t="s">
        <v>79</v>
      </c>
      <c r="K89" s="15">
        <v>43747</v>
      </c>
      <c r="L89" s="16">
        <v>5.58</v>
      </c>
      <c r="M89" s="1" t="s">
        <v>47</v>
      </c>
      <c r="N89" s="3" t="s">
        <v>145</v>
      </c>
      <c r="O89" s="1" t="s">
        <v>69</v>
      </c>
    </row>
    <row r="90" spans="1:15" ht="17.100000000000001" customHeight="1" x14ac:dyDescent="0.3">
      <c r="A90" s="3" t="str">
        <f t="shared" si="1"/>
        <v>4600010987S/ PROTOCOLO</v>
      </c>
      <c r="B90" s="14" t="s">
        <v>33</v>
      </c>
      <c r="C90" s="14">
        <v>4600010987</v>
      </c>
      <c r="D90" s="14">
        <v>130</v>
      </c>
      <c r="E90" s="14">
        <v>4701044</v>
      </c>
      <c r="F90" s="14">
        <v>1370</v>
      </c>
      <c r="H90" s="14">
        <v>5210100009</v>
      </c>
      <c r="I90" s="14" t="s">
        <v>80</v>
      </c>
      <c r="J90" s="14" t="s">
        <v>79</v>
      </c>
      <c r="K90" s="15">
        <v>43745</v>
      </c>
      <c r="L90" s="16">
        <v>4.2699999999999996</v>
      </c>
      <c r="M90" s="1" t="s">
        <v>47</v>
      </c>
      <c r="N90" s="3" t="s">
        <v>145</v>
      </c>
      <c r="O90" s="1" t="s">
        <v>69</v>
      </c>
    </row>
    <row r="91" spans="1:15" ht="17.100000000000001" customHeight="1" x14ac:dyDescent="0.3">
      <c r="A91" s="3" t="str">
        <f t="shared" si="1"/>
        <v>4600010623C/ PROTOCOLO</v>
      </c>
      <c r="B91" s="14" t="s">
        <v>33</v>
      </c>
      <c r="C91" s="14">
        <v>4600010623</v>
      </c>
      <c r="D91" s="14">
        <v>150</v>
      </c>
      <c r="E91" s="14">
        <v>4700980</v>
      </c>
      <c r="F91" s="14">
        <v>980</v>
      </c>
      <c r="H91" s="14">
        <v>5210100008</v>
      </c>
      <c r="I91" s="14" t="s">
        <v>78</v>
      </c>
      <c r="J91" s="14" t="s">
        <v>79</v>
      </c>
      <c r="K91" s="15">
        <v>43741</v>
      </c>
      <c r="L91" s="16">
        <v>2.84</v>
      </c>
      <c r="M91" s="1" t="s">
        <v>47</v>
      </c>
      <c r="N91" s="3" t="s">
        <v>145</v>
      </c>
      <c r="O91" s="1" t="s">
        <v>70</v>
      </c>
    </row>
    <row r="92" spans="1:15" ht="17.100000000000001" customHeight="1" x14ac:dyDescent="0.3">
      <c r="A92" s="3" t="str">
        <f t="shared" si="1"/>
        <v>4600010623C/ PROTOCOLO</v>
      </c>
      <c r="B92" s="14" t="s">
        <v>33</v>
      </c>
      <c r="C92" s="14">
        <v>4600010623</v>
      </c>
      <c r="D92" s="14">
        <v>150</v>
      </c>
      <c r="E92" s="14">
        <v>4700980</v>
      </c>
      <c r="F92" s="14">
        <v>1820</v>
      </c>
      <c r="H92" s="14">
        <v>5210100008</v>
      </c>
      <c r="I92" s="14" t="s">
        <v>78</v>
      </c>
      <c r="J92" s="14" t="s">
        <v>79</v>
      </c>
      <c r="K92" s="15">
        <v>43741</v>
      </c>
      <c r="L92" s="16">
        <v>2.84</v>
      </c>
      <c r="M92" s="1" t="s">
        <v>47</v>
      </c>
      <c r="N92" s="3" t="s">
        <v>145</v>
      </c>
      <c r="O92" s="1" t="s">
        <v>70</v>
      </c>
    </row>
    <row r="93" spans="1:15" ht="17.100000000000001" customHeight="1" x14ac:dyDescent="0.3">
      <c r="A93" s="3" t="str">
        <f t="shared" si="1"/>
        <v>4600010623C/ PROTOCOLO</v>
      </c>
      <c r="B93" s="14" t="s">
        <v>33</v>
      </c>
      <c r="C93" s="14">
        <v>4600010623</v>
      </c>
      <c r="D93" s="14">
        <v>150</v>
      </c>
      <c r="E93" s="14">
        <v>4700980</v>
      </c>
      <c r="F93" s="14">
        <v>1900</v>
      </c>
      <c r="H93" s="14">
        <v>5210100008</v>
      </c>
      <c r="I93" s="14" t="s">
        <v>78</v>
      </c>
      <c r="J93" s="14" t="s">
        <v>79</v>
      </c>
      <c r="K93" s="15">
        <v>43741</v>
      </c>
      <c r="L93" s="16">
        <v>2.84</v>
      </c>
      <c r="M93" s="1" t="s">
        <v>47</v>
      </c>
      <c r="N93" s="3" t="s">
        <v>145</v>
      </c>
      <c r="O93" s="1" t="s">
        <v>70</v>
      </c>
    </row>
    <row r="94" spans="1:15" ht="17.100000000000001" customHeight="1" x14ac:dyDescent="0.3">
      <c r="A94" s="3" t="str">
        <f t="shared" si="1"/>
        <v>4600011000C/ PROTOCOLO</v>
      </c>
      <c r="B94" s="14" t="s">
        <v>33</v>
      </c>
      <c r="C94" s="14">
        <v>4600011000</v>
      </c>
      <c r="D94" s="14">
        <v>150</v>
      </c>
      <c r="E94" s="14">
        <v>4003616</v>
      </c>
      <c r="F94" s="14">
        <v>930</v>
      </c>
      <c r="H94" s="14">
        <v>5210100008</v>
      </c>
      <c r="I94" s="14" t="s">
        <v>78</v>
      </c>
      <c r="J94" s="14" t="s">
        <v>79</v>
      </c>
      <c r="K94" s="15">
        <v>43747</v>
      </c>
      <c r="L94" s="16">
        <v>2.29</v>
      </c>
      <c r="M94" s="1" t="s">
        <v>48</v>
      </c>
      <c r="N94" s="3" t="s">
        <v>40</v>
      </c>
      <c r="O94" s="1" t="s">
        <v>70</v>
      </c>
    </row>
    <row r="95" spans="1:15" ht="17.100000000000001" customHeight="1" x14ac:dyDescent="0.3">
      <c r="A95" s="3" t="str">
        <f t="shared" si="1"/>
        <v>4600010996C/ PROTOCOLO</v>
      </c>
      <c r="B95" s="14" t="s">
        <v>33</v>
      </c>
      <c r="C95" s="14">
        <v>4600010996</v>
      </c>
      <c r="D95" s="14">
        <v>150</v>
      </c>
      <c r="E95" s="14">
        <v>4701044</v>
      </c>
      <c r="F95" s="14">
        <v>940</v>
      </c>
      <c r="H95" s="14">
        <v>5210100008</v>
      </c>
      <c r="I95" s="14" t="s">
        <v>78</v>
      </c>
      <c r="J95" s="14" t="s">
        <v>79</v>
      </c>
      <c r="K95" s="15">
        <v>43747</v>
      </c>
      <c r="L95" s="16">
        <v>2.84</v>
      </c>
      <c r="M95" s="1" t="s">
        <v>47</v>
      </c>
      <c r="N95" s="3" t="s">
        <v>145</v>
      </c>
      <c r="O95" s="1" t="s">
        <v>70</v>
      </c>
    </row>
    <row r="96" spans="1:15" ht="17.100000000000001" customHeight="1" x14ac:dyDescent="0.3">
      <c r="A96" s="3" t="str">
        <f t="shared" si="1"/>
        <v>4600010987C/ PROTOCOLO</v>
      </c>
      <c r="B96" s="14" t="s">
        <v>33</v>
      </c>
      <c r="C96" s="14">
        <v>4600010987</v>
      </c>
      <c r="D96" s="14">
        <v>150</v>
      </c>
      <c r="E96" s="14">
        <v>4701044</v>
      </c>
      <c r="F96" s="14">
        <v>980</v>
      </c>
      <c r="H96" s="14">
        <v>5210100008</v>
      </c>
      <c r="I96" s="14" t="s">
        <v>78</v>
      </c>
      <c r="J96" s="14" t="s">
        <v>79</v>
      </c>
      <c r="K96" s="15">
        <v>43745</v>
      </c>
      <c r="L96" s="16">
        <v>1.1000000000000001</v>
      </c>
      <c r="M96" s="1" t="s">
        <v>47</v>
      </c>
      <c r="N96" s="3" t="s">
        <v>145</v>
      </c>
      <c r="O96" s="1" t="s">
        <v>70</v>
      </c>
    </row>
    <row r="97" spans="1:15" ht="17.100000000000001" customHeight="1" x14ac:dyDescent="0.3">
      <c r="A97" s="3" t="str">
        <f t="shared" si="1"/>
        <v>4600010987C/ PROTOCOLO</v>
      </c>
      <c r="B97" s="14" t="s">
        <v>33</v>
      </c>
      <c r="C97" s="14">
        <v>4600010987</v>
      </c>
      <c r="D97" s="14">
        <v>150</v>
      </c>
      <c r="E97" s="14">
        <v>4701044</v>
      </c>
      <c r="F97" s="14">
        <v>1100</v>
      </c>
      <c r="H97" s="14">
        <v>5210100008</v>
      </c>
      <c r="I97" s="14" t="s">
        <v>78</v>
      </c>
      <c r="J97" s="14" t="s">
        <v>79</v>
      </c>
      <c r="K97" s="15">
        <v>43745</v>
      </c>
      <c r="L97" s="16">
        <v>1.1000000000000001</v>
      </c>
      <c r="M97" s="1" t="s">
        <v>47</v>
      </c>
      <c r="N97" s="3" t="s">
        <v>145</v>
      </c>
      <c r="O97" s="1" t="s">
        <v>70</v>
      </c>
    </row>
    <row r="98" spans="1:15" ht="17.100000000000001" customHeight="1" x14ac:dyDescent="0.3">
      <c r="A98" s="3" t="str">
        <f t="shared" si="1"/>
        <v>4600022623S/ PROTOCOLO</v>
      </c>
      <c r="B98" s="14" t="s">
        <v>34</v>
      </c>
      <c r="C98" s="14">
        <v>4600022623</v>
      </c>
      <c r="D98" s="14">
        <v>10</v>
      </c>
      <c r="E98" s="14">
        <v>4703909</v>
      </c>
      <c r="F98" s="14">
        <v>1760</v>
      </c>
      <c r="H98" s="14">
        <v>5024000070</v>
      </c>
      <c r="I98" s="14" t="s">
        <v>75</v>
      </c>
      <c r="J98" s="14" t="s">
        <v>76</v>
      </c>
      <c r="K98" s="15">
        <v>45539</v>
      </c>
      <c r="L98" s="16">
        <v>1</v>
      </c>
      <c r="M98" s="1" t="s">
        <v>56</v>
      </c>
      <c r="N98" s="3" t="s">
        <v>41</v>
      </c>
      <c r="O98" s="1" t="s">
        <v>69</v>
      </c>
    </row>
    <row r="99" spans="1:15" ht="17.100000000000001" customHeight="1" x14ac:dyDescent="0.3">
      <c r="A99" s="3" t="str">
        <f t="shared" si="1"/>
        <v>4600023464S/ PROTOCOLO</v>
      </c>
      <c r="B99" s="14" t="s">
        <v>34</v>
      </c>
      <c r="C99" s="14">
        <v>4600023464</v>
      </c>
      <c r="D99" s="14">
        <v>10</v>
      </c>
      <c r="E99" s="14">
        <v>4708063</v>
      </c>
      <c r="F99" s="14">
        <v>3740</v>
      </c>
      <c r="H99" s="14">
        <v>5024000070</v>
      </c>
      <c r="I99" s="14" t="s">
        <v>75</v>
      </c>
      <c r="J99" s="14" t="s">
        <v>76</v>
      </c>
      <c r="K99" s="15">
        <v>45622</v>
      </c>
      <c r="L99" s="16">
        <v>3.41</v>
      </c>
      <c r="M99" s="1" t="s">
        <v>58</v>
      </c>
      <c r="N99" s="3" t="s">
        <v>59</v>
      </c>
      <c r="O99" s="1" t="s">
        <v>69</v>
      </c>
    </row>
    <row r="100" spans="1:15" ht="17.100000000000001" customHeight="1" x14ac:dyDescent="0.3">
      <c r="A100" s="3" t="str">
        <f t="shared" si="1"/>
        <v>4600025058S/ PROTOCOLO</v>
      </c>
      <c r="B100" s="14" t="s">
        <v>34</v>
      </c>
      <c r="C100" s="14">
        <v>4600025058</v>
      </c>
      <c r="D100" s="14">
        <v>10</v>
      </c>
      <c r="E100" s="14">
        <v>4008983</v>
      </c>
      <c r="F100" s="14">
        <v>2750</v>
      </c>
      <c r="H100" s="14">
        <v>5024000070</v>
      </c>
      <c r="I100" s="14" t="s">
        <v>75</v>
      </c>
      <c r="J100" s="14" t="s">
        <v>76</v>
      </c>
      <c r="K100" s="15">
        <v>45680</v>
      </c>
      <c r="L100" s="16">
        <v>4.25</v>
      </c>
      <c r="M100" s="1" t="s">
        <v>48</v>
      </c>
      <c r="N100" s="3" t="s">
        <v>40</v>
      </c>
      <c r="O100" s="1" t="s">
        <v>69</v>
      </c>
    </row>
    <row r="101" spans="1:15" ht="17.100000000000001" customHeight="1" x14ac:dyDescent="0.3">
      <c r="A101" s="3" t="str">
        <f t="shared" si="1"/>
        <v>4600026165S/ PROTOCOLO</v>
      </c>
      <c r="B101" s="14" t="s">
        <v>34</v>
      </c>
      <c r="C101" s="14">
        <v>4600026165</v>
      </c>
      <c r="D101" s="14">
        <v>10</v>
      </c>
      <c r="E101" s="14">
        <v>4706893</v>
      </c>
      <c r="F101" s="14">
        <v>2730</v>
      </c>
      <c r="H101" s="14">
        <v>5024000070</v>
      </c>
      <c r="I101" s="14" t="s">
        <v>75</v>
      </c>
      <c r="J101" s="14" t="s">
        <v>76</v>
      </c>
      <c r="K101" s="15">
        <v>45789</v>
      </c>
      <c r="L101" s="16">
        <v>2.19</v>
      </c>
      <c r="M101" s="1" t="s">
        <v>53</v>
      </c>
      <c r="N101" s="3" t="s">
        <v>45</v>
      </c>
      <c r="O101" s="1" t="s">
        <v>69</v>
      </c>
    </row>
    <row r="102" spans="1:15" ht="17.100000000000001" customHeight="1" x14ac:dyDescent="0.3">
      <c r="A102" s="3" t="str">
        <f t="shared" si="1"/>
        <v>4600026186S/ PROTOCOLO</v>
      </c>
      <c r="B102" s="14" t="s">
        <v>34</v>
      </c>
      <c r="C102" s="14">
        <v>4600026186</v>
      </c>
      <c r="D102" s="14">
        <v>10</v>
      </c>
      <c r="E102" s="14">
        <v>4006856</v>
      </c>
      <c r="F102" s="14">
        <v>2720</v>
      </c>
      <c r="H102" s="14">
        <v>5024000070</v>
      </c>
      <c r="I102" s="14" t="s">
        <v>75</v>
      </c>
      <c r="J102" s="14" t="s">
        <v>76</v>
      </c>
      <c r="K102" s="15">
        <v>45790</v>
      </c>
      <c r="L102" s="16">
        <v>2.2799999999999998</v>
      </c>
      <c r="M102" s="1" t="s">
        <v>62</v>
      </c>
      <c r="N102" s="3" t="s">
        <v>63</v>
      </c>
      <c r="O102" s="1" t="s">
        <v>69</v>
      </c>
    </row>
    <row r="103" spans="1:15" ht="17.100000000000001" customHeight="1" x14ac:dyDescent="0.3">
      <c r="A103" s="3" t="str">
        <f t="shared" si="1"/>
        <v>4600021690C/ PROTOCOLO</v>
      </c>
      <c r="B103" s="14" t="s">
        <v>34</v>
      </c>
      <c r="C103" s="14">
        <v>4600021690</v>
      </c>
      <c r="D103" s="14">
        <v>10</v>
      </c>
      <c r="E103" s="14">
        <v>4002535</v>
      </c>
      <c r="F103" s="14">
        <v>100</v>
      </c>
      <c r="H103" s="14">
        <v>5024000071</v>
      </c>
      <c r="I103" s="14" t="s">
        <v>77</v>
      </c>
      <c r="J103" s="14" t="s">
        <v>76</v>
      </c>
      <c r="K103" s="15">
        <v>45463</v>
      </c>
      <c r="L103" s="16">
        <v>60.83</v>
      </c>
      <c r="M103" s="1" t="s">
        <v>86</v>
      </c>
      <c r="N103" s="3" t="s">
        <v>129</v>
      </c>
      <c r="O103" s="1" t="s">
        <v>70</v>
      </c>
    </row>
    <row r="104" spans="1:15" ht="17.100000000000001" customHeight="1" x14ac:dyDescent="0.3">
      <c r="A104" s="3" t="str">
        <f t="shared" si="1"/>
        <v>4600022623C/ PROTOCOLO</v>
      </c>
      <c r="B104" s="14" t="s">
        <v>34</v>
      </c>
      <c r="C104" s="14">
        <v>4600022623</v>
      </c>
      <c r="D104" s="14">
        <v>10</v>
      </c>
      <c r="E104" s="14">
        <v>4703909</v>
      </c>
      <c r="F104" s="14">
        <v>1770</v>
      </c>
      <c r="H104" s="14">
        <v>5024000071</v>
      </c>
      <c r="I104" s="14" t="s">
        <v>77</v>
      </c>
      <c r="J104" s="14" t="s">
        <v>76</v>
      </c>
      <c r="K104" s="15">
        <v>45539</v>
      </c>
      <c r="L104" s="16">
        <v>1</v>
      </c>
      <c r="M104" s="1" t="s">
        <v>56</v>
      </c>
      <c r="N104" s="3" t="s">
        <v>41</v>
      </c>
      <c r="O104" s="1" t="s">
        <v>70</v>
      </c>
    </row>
    <row r="105" spans="1:15" ht="17.100000000000001" customHeight="1" x14ac:dyDescent="0.3">
      <c r="A105" s="3" t="str">
        <f t="shared" si="1"/>
        <v>4600023464C/ PROTOCOLO</v>
      </c>
      <c r="B105" s="14" t="s">
        <v>34</v>
      </c>
      <c r="C105" s="14">
        <v>4600023464</v>
      </c>
      <c r="D105" s="14">
        <v>10</v>
      </c>
      <c r="E105" s="14">
        <v>4708063</v>
      </c>
      <c r="F105" s="14">
        <v>3750</v>
      </c>
      <c r="H105" s="14">
        <v>5024000071</v>
      </c>
      <c r="I105" s="14" t="s">
        <v>77</v>
      </c>
      <c r="J105" s="14" t="s">
        <v>76</v>
      </c>
      <c r="K105" s="15">
        <v>45622</v>
      </c>
      <c r="L105" s="16">
        <v>3.99</v>
      </c>
      <c r="M105" s="1" t="s">
        <v>58</v>
      </c>
      <c r="N105" s="3" t="s">
        <v>59</v>
      </c>
      <c r="O105" s="1" t="s">
        <v>70</v>
      </c>
    </row>
    <row r="106" spans="1:15" ht="17.100000000000001" customHeight="1" x14ac:dyDescent="0.3">
      <c r="A106" s="3" t="str">
        <f t="shared" si="1"/>
        <v>4600025058C/ PROTOCOLO</v>
      </c>
      <c r="B106" s="14" t="s">
        <v>34</v>
      </c>
      <c r="C106" s="14">
        <v>4600025058</v>
      </c>
      <c r="D106" s="14">
        <v>10</v>
      </c>
      <c r="E106" s="14">
        <v>4008983</v>
      </c>
      <c r="F106" s="14">
        <v>2760</v>
      </c>
      <c r="H106" s="14">
        <v>5024000071</v>
      </c>
      <c r="I106" s="14" t="s">
        <v>77</v>
      </c>
      <c r="J106" s="14" t="s">
        <v>76</v>
      </c>
      <c r="K106" s="15">
        <v>45680</v>
      </c>
      <c r="L106" s="16">
        <v>4.97</v>
      </c>
      <c r="M106" s="1" t="s">
        <v>48</v>
      </c>
      <c r="N106" s="3" t="s">
        <v>40</v>
      </c>
      <c r="O106" s="1" t="s">
        <v>70</v>
      </c>
    </row>
    <row r="107" spans="1:15" ht="17.100000000000001" customHeight="1" x14ac:dyDescent="0.3">
      <c r="A107" s="3" t="str">
        <f t="shared" si="1"/>
        <v>4600026165C/ PROTOCOLO</v>
      </c>
      <c r="B107" s="14" t="s">
        <v>34</v>
      </c>
      <c r="C107" s="14">
        <v>4600026165</v>
      </c>
      <c r="D107" s="14">
        <v>10</v>
      </c>
      <c r="E107" s="14">
        <v>4706893</v>
      </c>
      <c r="F107" s="14">
        <v>2740</v>
      </c>
      <c r="H107" s="14">
        <v>5024000071</v>
      </c>
      <c r="I107" s="14" t="s">
        <v>77</v>
      </c>
      <c r="J107" s="14" t="s">
        <v>76</v>
      </c>
      <c r="K107" s="15">
        <v>45789</v>
      </c>
      <c r="L107" s="16">
        <v>2.56</v>
      </c>
      <c r="M107" s="1" t="s">
        <v>53</v>
      </c>
      <c r="N107" s="3" t="s">
        <v>45</v>
      </c>
      <c r="O107" s="1" t="s">
        <v>70</v>
      </c>
    </row>
    <row r="108" spans="1:15" ht="17.100000000000001" customHeight="1" x14ac:dyDescent="0.3">
      <c r="A108" s="3" t="str">
        <f t="shared" si="1"/>
        <v>4600026186C/ PROTOCOLO</v>
      </c>
      <c r="B108" s="14" t="s">
        <v>34</v>
      </c>
      <c r="C108" s="14">
        <v>4600026186</v>
      </c>
      <c r="D108" s="14">
        <v>10</v>
      </c>
      <c r="E108" s="14">
        <v>4006856</v>
      </c>
      <c r="F108" s="14">
        <v>2730</v>
      </c>
      <c r="H108" s="14">
        <v>5024000071</v>
      </c>
      <c r="I108" s="14" t="s">
        <v>77</v>
      </c>
      <c r="J108" s="14" t="s">
        <v>76</v>
      </c>
      <c r="K108" s="15">
        <v>45790</v>
      </c>
      <c r="L108" s="16">
        <v>2.67</v>
      </c>
      <c r="M108" s="1" t="s">
        <v>62</v>
      </c>
      <c r="N108" s="3" t="s">
        <v>63</v>
      </c>
      <c r="O108" s="1" t="s">
        <v>70</v>
      </c>
    </row>
    <row r="109" spans="1:15" ht="17.100000000000001" customHeight="1" x14ac:dyDescent="0.3">
      <c r="A109" s="3" t="str">
        <f t="shared" si="1"/>
        <v>4600011219C/ PROTOCOLO</v>
      </c>
      <c r="B109" s="14" t="s">
        <v>34</v>
      </c>
      <c r="C109" s="14">
        <v>4600011219</v>
      </c>
      <c r="D109" s="14">
        <v>10</v>
      </c>
      <c r="E109" s="14">
        <v>4002178</v>
      </c>
      <c r="F109" s="14">
        <v>1330</v>
      </c>
      <c r="H109" s="14">
        <v>5210100008</v>
      </c>
      <c r="I109" s="14" t="s">
        <v>78</v>
      </c>
      <c r="J109" s="14" t="s">
        <v>79</v>
      </c>
      <c r="K109" s="15">
        <v>43773</v>
      </c>
      <c r="L109" s="16">
        <v>11.87</v>
      </c>
      <c r="M109" s="1" t="s">
        <v>48</v>
      </c>
      <c r="N109" s="3" t="s">
        <v>40</v>
      </c>
      <c r="O109" s="1" t="s">
        <v>70</v>
      </c>
    </row>
    <row r="110" spans="1:15" ht="17.100000000000001" customHeight="1" x14ac:dyDescent="0.3">
      <c r="A110" s="3" t="str">
        <f t="shared" si="1"/>
        <v>4600011238C/ PROTOCOLO</v>
      </c>
      <c r="B110" s="14" t="s">
        <v>34</v>
      </c>
      <c r="C110" s="14">
        <v>4600011238</v>
      </c>
      <c r="D110" s="14">
        <v>10</v>
      </c>
      <c r="E110" s="14">
        <v>4701976</v>
      </c>
      <c r="F110" s="14">
        <v>1330</v>
      </c>
      <c r="H110" s="14">
        <v>5210100008</v>
      </c>
      <c r="I110" s="14" t="s">
        <v>78</v>
      </c>
      <c r="J110" s="14" t="s">
        <v>79</v>
      </c>
      <c r="K110" s="15">
        <v>43774</v>
      </c>
      <c r="L110" s="16">
        <v>12.67</v>
      </c>
      <c r="M110" s="1" t="s">
        <v>50</v>
      </c>
      <c r="N110" s="1" t="s">
        <v>42</v>
      </c>
      <c r="O110" s="1" t="s">
        <v>70</v>
      </c>
    </row>
    <row r="111" spans="1:15" ht="17.100000000000001" customHeight="1" x14ac:dyDescent="0.3">
      <c r="A111" s="3" t="str">
        <f t="shared" si="1"/>
        <v>4600011246C/ PROTOCOLO</v>
      </c>
      <c r="B111" s="14" t="s">
        <v>34</v>
      </c>
      <c r="C111" s="14">
        <v>4600011246</v>
      </c>
      <c r="D111" s="14">
        <v>10</v>
      </c>
      <c r="E111" s="14">
        <v>4002178</v>
      </c>
      <c r="F111" s="14">
        <v>1330</v>
      </c>
      <c r="H111" s="14">
        <v>5210100008</v>
      </c>
      <c r="I111" s="14" t="s">
        <v>78</v>
      </c>
      <c r="J111" s="14" t="s">
        <v>79</v>
      </c>
      <c r="K111" s="15">
        <v>43774</v>
      </c>
      <c r="L111" s="16">
        <v>12.18</v>
      </c>
      <c r="M111" s="1" t="s">
        <v>48</v>
      </c>
      <c r="N111" s="3" t="s">
        <v>40</v>
      </c>
      <c r="O111" s="1" t="s">
        <v>70</v>
      </c>
    </row>
    <row r="112" spans="1:15" ht="17.100000000000001" customHeight="1" x14ac:dyDescent="0.3">
      <c r="A112" s="3" t="str">
        <f t="shared" si="1"/>
        <v>4600014190C/ PROTOCOLO</v>
      </c>
      <c r="B112" s="14" t="s">
        <v>34</v>
      </c>
      <c r="C112" s="14">
        <v>4600014190</v>
      </c>
      <c r="D112" s="14">
        <v>10</v>
      </c>
      <c r="E112" s="14">
        <v>4702204</v>
      </c>
      <c r="F112" s="14">
        <v>1330</v>
      </c>
      <c r="H112" s="14">
        <v>5210100008</v>
      </c>
      <c r="I112" s="14" t="s">
        <v>78</v>
      </c>
      <c r="J112" s="14" t="s">
        <v>79</v>
      </c>
      <c r="K112" s="15">
        <v>44358</v>
      </c>
      <c r="L112" s="16">
        <v>6.87</v>
      </c>
      <c r="M112" s="1" t="s">
        <v>87</v>
      </c>
      <c r="N112" s="3" t="s">
        <v>128</v>
      </c>
      <c r="O112" s="1" t="s">
        <v>70</v>
      </c>
    </row>
    <row r="113" spans="1:15" ht="17.100000000000001" customHeight="1" x14ac:dyDescent="0.3">
      <c r="A113" s="3" t="str">
        <f t="shared" si="1"/>
        <v>4600014190C/ PROTOCOLO</v>
      </c>
      <c r="B113" s="14" t="s">
        <v>34</v>
      </c>
      <c r="C113" s="14">
        <v>4600014190</v>
      </c>
      <c r="D113" s="14">
        <v>10</v>
      </c>
      <c r="E113" s="14">
        <v>4702204</v>
      </c>
      <c r="F113" s="14">
        <v>3040</v>
      </c>
      <c r="H113" s="14">
        <v>5210100008</v>
      </c>
      <c r="I113" s="14" t="s">
        <v>78</v>
      </c>
      <c r="J113" s="14" t="s">
        <v>79</v>
      </c>
      <c r="K113" s="15">
        <v>44358</v>
      </c>
      <c r="L113" s="16">
        <v>3.77</v>
      </c>
      <c r="M113" s="1" t="s">
        <v>87</v>
      </c>
      <c r="N113" s="3" t="s">
        <v>128</v>
      </c>
      <c r="O113" s="1" t="s">
        <v>70</v>
      </c>
    </row>
    <row r="114" spans="1:15" ht="17.100000000000001" customHeight="1" x14ac:dyDescent="0.3">
      <c r="A114" s="3" t="str">
        <f t="shared" si="1"/>
        <v>4600016945C/ PROTOCOLO</v>
      </c>
      <c r="B114" s="14" t="s">
        <v>34</v>
      </c>
      <c r="C114" s="14">
        <v>4600016945</v>
      </c>
      <c r="D114" s="14">
        <v>10</v>
      </c>
      <c r="E114" s="14">
        <v>4706228</v>
      </c>
      <c r="F114" s="14">
        <v>7230</v>
      </c>
      <c r="H114" s="14">
        <v>5210100008</v>
      </c>
      <c r="I114" s="14" t="s">
        <v>78</v>
      </c>
      <c r="J114" s="14" t="s">
        <v>79</v>
      </c>
      <c r="K114" s="15">
        <v>44808</v>
      </c>
      <c r="L114" s="16">
        <v>4.13</v>
      </c>
      <c r="M114" s="1" t="s">
        <v>88</v>
      </c>
      <c r="N114" s="3" t="s">
        <v>88</v>
      </c>
      <c r="O114" s="1" t="s">
        <v>70</v>
      </c>
    </row>
    <row r="115" spans="1:15" ht="17.100000000000001" customHeight="1" x14ac:dyDescent="0.3">
      <c r="A115" s="3" t="str">
        <f t="shared" si="1"/>
        <v>4600016945C/ PROTOCOLO</v>
      </c>
      <c r="B115" s="14" t="s">
        <v>34</v>
      </c>
      <c r="C115" s="14">
        <v>4600016945</v>
      </c>
      <c r="D115" s="14">
        <v>10</v>
      </c>
      <c r="E115" s="14">
        <v>4706228</v>
      </c>
      <c r="F115" s="14">
        <v>8970</v>
      </c>
      <c r="H115" s="14">
        <v>5210100008</v>
      </c>
      <c r="I115" s="14" t="s">
        <v>78</v>
      </c>
      <c r="J115" s="14" t="s">
        <v>79</v>
      </c>
      <c r="K115" s="15">
        <v>44808</v>
      </c>
      <c r="L115" s="16">
        <v>4.13</v>
      </c>
      <c r="M115" s="1" t="s">
        <v>88</v>
      </c>
      <c r="N115" s="3" t="s">
        <v>88</v>
      </c>
      <c r="O115" s="1" t="s">
        <v>70</v>
      </c>
    </row>
    <row r="116" spans="1:15" ht="17.100000000000001" customHeight="1" x14ac:dyDescent="0.3">
      <c r="A116" s="3" t="str">
        <f t="shared" si="1"/>
        <v>4600019673C/ PROTOCOLO</v>
      </c>
      <c r="B116" s="14" t="s">
        <v>34</v>
      </c>
      <c r="C116" s="14">
        <v>4600019673</v>
      </c>
      <c r="D116" s="14">
        <v>10</v>
      </c>
      <c r="E116" s="14">
        <v>3001425</v>
      </c>
      <c r="F116" s="14">
        <v>1620</v>
      </c>
      <c r="H116" s="14">
        <v>5210100008</v>
      </c>
      <c r="I116" s="14" t="s">
        <v>78</v>
      </c>
      <c r="J116" s="14" t="s">
        <v>79</v>
      </c>
      <c r="K116" s="15">
        <v>45187</v>
      </c>
      <c r="L116" s="16">
        <v>7.66</v>
      </c>
      <c r="M116" s="1" t="s">
        <v>57</v>
      </c>
      <c r="N116" s="3" t="s">
        <v>44</v>
      </c>
      <c r="O116" s="1" t="s">
        <v>70</v>
      </c>
    </row>
    <row r="117" spans="1:15" ht="17.100000000000001" customHeight="1" x14ac:dyDescent="0.3">
      <c r="A117" s="3" t="str">
        <f t="shared" si="1"/>
        <v>4600019674C/ PROTOCOLO</v>
      </c>
      <c r="B117" s="14" t="s">
        <v>34</v>
      </c>
      <c r="C117" s="14">
        <v>4600019674</v>
      </c>
      <c r="D117" s="14">
        <v>10</v>
      </c>
      <c r="E117" s="14">
        <v>3001425</v>
      </c>
      <c r="F117" s="14">
        <v>1320</v>
      </c>
      <c r="H117" s="14">
        <v>5210100008</v>
      </c>
      <c r="I117" s="14" t="s">
        <v>78</v>
      </c>
      <c r="J117" s="14" t="s">
        <v>79</v>
      </c>
      <c r="K117" s="15">
        <v>45187</v>
      </c>
      <c r="L117" s="16">
        <v>9.76</v>
      </c>
      <c r="M117" s="1" t="s">
        <v>57</v>
      </c>
      <c r="N117" s="3" t="s">
        <v>44</v>
      </c>
      <c r="O117" s="1" t="s">
        <v>70</v>
      </c>
    </row>
    <row r="118" spans="1:15" ht="17.100000000000001" customHeight="1" x14ac:dyDescent="0.3">
      <c r="A118" s="3" t="str">
        <f t="shared" si="1"/>
        <v>4600016945S/ PROTOCOLO</v>
      </c>
      <c r="B118" s="14" t="s">
        <v>34</v>
      </c>
      <c r="C118" s="14">
        <v>4600016945</v>
      </c>
      <c r="D118" s="14">
        <v>10</v>
      </c>
      <c r="E118" s="14">
        <v>4706228</v>
      </c>
      <c r="F118" s="14">
        <v>9230</v>
      </c>
      <c r="H118" s="14">
        <v>5210100009</v>
      </c>
      <c r="I118" s="14" t="s">
        <v>80</v>
      </c>
      <c r="J118" s="14" t="s">
        <v>79</v>
      </c>
      <c r="K118" s="15">
        <v>44808</v>
      </c>
      <c r="L118" s="16">
        <v>3.66</v>
      </c>
      <c r="M118" s="1" t="s">
        <v>88</v>
      </c>
      <c r="N118" s="3" t="s">
        <v>88</v>
      </c>
      <c r="O118" s="1" t="s">
        <v>69</v>
      </c>
    </row>
    <row r="119" spans="1:15" ht="17.100000000000001" customHeight="1" x14ac:dyDescent="0.3">
      <c r="A119" s="3" t="str">
        <f t="shared" si="1"/>
        <v>4600016945S/ PROTOCOLO</v>
      </c>
      <c r="B119" s="14" t="s">
        <v>34</v>
      </c>
      <c r="C119" s="14">
        <v>4600016945</v>
      </c>
      <c r="D119" s="14">
        <v>10</v>
      </c>
      <c r="E119" s="14">
        <v>4706228</v>
      </c>
      <c r="F119" s="14">
        <v>9380</v>
      </c>
      <c r="H119" s="14">
        <v>5210100009</v>
      </c>
      <c r="I119" s="14" t="s">
        <v>80</v>
      </c>
      <c r="J119" s="14" t="s">
        <v>79</v>
      </c>
      <c r="K119" s="15">
        <v>44808</v>
      </c>
      <c r="L119" s="16">
        <v>3.66</v>
      </c>
      <c r="M119" s="1" t="s">
        <v>88</v>
      </c>
      <c r="N119" s="3" t="s">
        <v>88</v>
      </c>
      <c r="O119" s="1" t="s">
        <v>69</v>
      </c>
    </row>
    <row r="120" spans="1:15" ht="17.100000000000001" customHeight="1" x14ac:dyDescent="0.3">
      <c r="A120" s="3" t="str">
        <f t="shared" si="1"/>
        <v>4600023464S/ PROTOCOLO</v>
      </c>
      <c r="B120" s="14" t="s">
        <v>34</v>
      </c>
      <c r="C120" s="14">
        <v>4600023464</v>
      </c>
      <c r="D120" s="14">
        <v>20</v>
      </c>
      <c r="E120" s="14">
        <v>4708063</v>
      </c>
      <c r="F120" s="14">
        <v>2730</v>
      </c>
      <c r="H120" s="14">
        <v>5024000070</v>
      </c>
      <c r="I120" s="14" t="s">
        <v>75</v>
      </c>
      <c r="J120" s="14" t="s">
        <v>76</v>
      </c>
      <c r="K120" s="15">
        <v>45622</v>
      </c>
      <c r="L120" s="16">
        <v>3.41</v>
      </c>
      <c r="M120" s="1" t="s">
        <v>58</v>
      </c>
      <c r="N120" s="3" t="s">
        <v>59</v>
      </c>
      <c r="O120" s="1" t="s">
        <v>69</v>
      </c>
    </row>
    <row r="121" spans="1:15" ht="17.100000000000001" customHeight="1" x14ac:dyDescent="0.3">
      <c r="A121" s="3" t="str">
        <f t="shared" si="1"/>
        <v>4600025058S/ PROTOCOLO</v>
      </c>
      <c r="B121" s="14" t="s">
        <v>34</v>
      </c>
      <c r="C121" s="14">
        <v>4600025058</v>
      </c>
      <c r="D121" s="14">
        <v>20</v>
      </c>
      <c r="E121" s="14">
        <v>4008983</v>
      </c>
      <c r="F121" s="14">
        <v>2760</v>
      </c>
      <c r="H121" s="14">
        <v>5024000070</v>
      </c>
      <c r="I121" s="14" t="s">
        <v>75</v>
      </c>
      <c r="J121" s="14" t="s">
        <v>76</v>
      </c>
      <c r="K121" s="15">
        <v>45680</v>
      </c>
      <c r="L121" s="16">
        <v>4.25</v>
      </c>
      <c r="M121" s="1" t="s">
        <v>48</v>
      </c>
      <c r="N121" s="3" t="s">
        <v>40</v>
      </c>
      <c r="O121" s="1" t="s">
        <v>69</v>
      </c>
    </row>
    <row r="122" spans="1:15" ht="17.100000000000001" customHeight="1" x14ac:dyDescent="0.3">
      <c r="A122" s="3" t="str">
        <f t="shared" si="1"/>
        <v>4600026165S/ PROTOCOLO</v>
      </c>
      <c r="B122" s="14" t="s">
        <v>34</v>
      </c>
      <c r="C122" s="14">
        <v>4600026165</v>
      </c>
      <c r="D122" s="14">
        <v>20</v>
      </c>
      <c r="E122" s="14">
        <v>4706893</v>
      </c>
      <c r="F122" s="14">
        <v>2730</v>
      </c>
      <c r="H122" s="14">
        <v>5024000070</v>
      </c>
      <c r="I122" s="14" t="s">
        <v>75</v>
      </c>
      <c r="J122" s="14" t="s">
        <v>76</v>
      </c>
      <c r="K122" s="15">
        <v>45789</v>
      </c>
      <c r="L122" s="16">
        <v>2.19</v>
      </c>
      <c r="M122" s="1" t="s">
        <v>53</v>
      </c>
      <c r="N122" s="3" t="s">
        <v>45</v>
      </c>
      <c r="O122" s="1" t="s">
        <v>69</v>
      </c>
    </row>
    <row r="123" spans="1:15" ht="17.100000000000001" customHeight="1" x14ac:dyDescent="0.3">
      <c r="A123" s="3" t="str">
        <f t="shared" si="1"/>
        <v>4600026186S/ PROTOCOLO</v>
      </c>
      <c r="B123" s="14" t="s">
        <v>34</v>
      </c>
      <c r="C123" s="14">
        <v>4600026186</v>
      </c>
      <c r="D123" s="14">
        <v>20</v>
      </c>
      <c r="E123" s="14">
        <v>4006856</v>
      </c>
      <c r="F123" s="14">
        <v>2720</v>
      </c>
      <c r="H123" s="14">
        <v>5024000070</v>
      </c>
      <c r="I123" s="14" t="s">
        <v>75</v>
      </c>
      <c r="J123" s="14" t="s">
        <v>76</v>
      </c>
      <c r="K123" s="15">
        <v>45790</v>
      </c>
      <c r="L123" s="16">
        <v>2.2799999999999998</v>
      </c>
      <c r="M123" s="1" t="s">
        <v>62</v>
      </c>
      <c r="N123" s="3" t="s">
        <v>63</v>
      </c>
      <c r="O123" s="1" t="s">
        <v>69</v>
      </c>
    </row>
    <row r="124" spans="1:15" ht="17.100000000000001" customHeight="1" x14ac:dyDescent="0.3">
      <c r="A124" s="3" t="str">
        <f t="shared" si="1"/>
        <v>4600023464C/ PROTOCOLO</v>
      </c>
      <c r="B124" s="14" t="s">
        <v>34</v>
      </c>
      <c r="C124" s="14">
        <v>4600023464</v>
      </c>
      <c r="D124" s="14">
        <v>20</v>
      </c>
      <c r="E124" s="14">
        <v>4708063</v>
      </c>
      <c r="F124" s="14">
        <v>2740</v>
      </c>
      <c r="H124" s="14">
        <v>5024000071</v>
      </c>
      <c r="I124" s="14" t="s">
        <v>77</v>
      </c>
      <c r="J124" s="14" t="s">
        <v>76</v>
      </c>
      <c r="K124" s="15">
        <v>45622</v>
      </c>
      <c r="L124" s="16">
        <v>3.99</v>
      </c>
      <c r="M124" s="1" t="s">
        <v>58</v>
      </c>
      <c r="N124" s="3" t="s">
        <v>59</v>
      </c>
      <c r="O124" s="1" t="s">
        <v>70</v>
      </c>
    </row>
    <row r="125" spans="1:15" ht="17.100000000000001" customHeight="1" x14ac:dyDescent="0.3">
      <c r="A125" s="3" t="str">
        <f t="shared" si="1"/>
        <v>4600025058C/ PROTOCOLO</v>
      </c>
      <c r="B125" s="14" t="s">
        <v>34</v>
      </c>
      <c r="C125" s="14">
        <v>4600025058</v>
      </c>
      <c r="D125" s="14">
        <v>20</v>
      </c>
      <c r="E125" s="14">
        <v>4008983</v>
      </c>
      <c r="F125" s="14">
        <v>2770</v>
      </c>
      <c r="H125" s="14">
        <v>5024000071</v>
      </c>
      <c r="I125" s="14" t="s">
        <v>77</v>
      </c>
      <c r="J125" s="14" t="s">
        <v>76</v>
      </c>
      <c r="K125" s="15">
        <v>45680</v>
      </c>
      <c r="L125" s="16">
        <v>4.97</v>
      </c>
      <c r="M125" s="1" t="s">
        <v>48</v>
      </c>
      <c r="N125" s="3" t="s">
        <v>40</v>
      </c>
      <c r="O125" s="1" t="s">
        <v>70</v>
      </c>
    </row>
    <row r="126" spans="1:15" ht="17.100000000000001" customHeight="1" x14ac:dyDescent="0.3">
      <c r="A126" s="3" t="str">
        <f t="shared" si="1"/>
        <v>4600026165C/ PROTOCOLO</v>
      </c>
      <c r="B126" s="14" t="s">
        <v>34</v>
      </c>
      <c r="C126" s="14">
        <v>4600026165</v>
      </c>
      <c r="D126" s="14">
        <v>20</v>
      </c>
      <c r="E126" s="14">
        <v>4706893</v>
      </c>
      <c r="F126" s="14">
        <v>2740</v>
      </c>
      <c r="H126" s="14">
        <v>5024000071</v>
      </c>
      <c r="I126" s="14" t="s">
        <v>77</v>
      </c>
      <c r="J126" s="14" t="s">
        <v>76</v>
      </c>
      <c r="K126" s="15">
        <v>45789</v>
      </c>
      <c r="L126" s="16">
        <v>2.56</v>
      </c>
      <c r="M126" s="1" t="s">
        <v>53</v>
      </c>
      <c r="N126" s="3" t="s">
        <v>45</v>
      </c>
      <c r="O126" s="1" t="s">
        <v>70</v>
      </c>
    </row>
    <row r="127" spans="1:15" ht="17.100000000000001" customHeight="1" x14ac:dyDescent="0.3">
      <c r="A127" s="3" t="str">
        <f t="shared" si="1"/>
        <v>4600026186C/ PROTOCOLO</v>
      </c>
      <c r="B127" s="14" t="s">
        <v>34</v>
      </c>
      <c r="C127" s="14">
        <v>4600026186</v>
      </c>
      <c r="D127" s="14">
        <v>20</v>
      </c>
      <c r="E127" s="14">
        <v>4006856</v>
      </c>
      <c r="F127" s="14">
        <v>2730</v>
      </c>
      <c r="H127" s="14">
        <v>5024000071</v>
      </c>
      <c r="I127" s="14" t="s">
        <v>77</v>
      </c>
      <c r="J127" s="14" t="s">
        <v>76</v>
      </c>
      <c r="K127" s="15">
        <v>45790</v>
      </c>
      <c r="L127" s="16">
        <v>2.67</v>
      </c>
      <c r="M127" s="1" t="s">
        <v>62</v>
      </c>
      <c r="N127" s="3" t="s">
        <v>63</v>
      </c>
      <c r="O127" s="1" t="s">
        <v>70</v>
      </c>
    </row>
    <row r="128" spans="1:15" ht="17.100000000000001" customHeight="1" x14ac:dyDescent="0.3">
      <c r="A128" s="3" t="str">
        <f t="shared" si="1"/>
        <v>4600018874S/ PROTOCOLO</v>
      </c>
      <c r="B128" s="14" t="s">
        <v>34</v>
      </c>
      <c r="C128" s="14">
        <v>4600018874</v>
      </c>
      <c r="D128" s="14">
        <v>20</v>
      </c>
      <c r="E128" s="14">
        <v>4707806</v>
      </c>
      <c r="F128" s="14">
        <v>10</v>
      </c>
      <c r="H128" s="14">
        <v>5210100001</v>
      </c>
      <c r="I128" s="14" t="s">
        <v>81</v>
      </c>
      <c r="J128" s="14" t="s">
        <v>79</v>
      </c>
      <c r="K128" s="15">
        <v>45058</v>
      </c>
      <c r="L128" s="16">
        <v>1</v>
      </c>
      <c r="M128" s="1" t="s">
        <v>89</v>
      </c>
      <c r="N128" s="3" t="s">
        <v>114</v>
      </c>
      <c r="O128" s="1" t="s">
        <v>69</v>
      </c>
    </row>
    <row r="129" spans="1:15" ht="17.100000000000001" customHeight="1" x14ac:dyDescent="0.3">
      <c r="A129" s="3" t="str">
        <f t="shared" si="1"/>
        <v>4600013399C/ PROTOCOLO</v>
      </c>
      <c r="B129" s="14" t="s">
        <v>34</v>
      </c>
      <c r="C129" s="14">
        <v>4600013399</v>
      </c>
      <c r="D129" s="14">
        <v>20</v>
      </c>
      <c r="E129" s="14">
        <v>4701976</v>
      </c>
      <c r="F129" s="14">
        <v>1650</v>
      </c>
      <c r="H129" s="14">
        <v>5210100008</v>
      </c>
      <c r="I129" s="14" t="s">
        <v>78</v>
      </c>
      <c r="J129" s="14" t="s">
        <v>79</v>
      </c>
      <c r="K129" s="15">
        <v>44193</v>
      </c>
      <c r="L129" s="16">
        <v>12.67</v>
      </c>
      <c r="M129" s="1" t="s">
        <v>50</v>
      </c>
      <c r="N129" s="1" t="s">
        <v>42</v>
      </c>
      <c r="O129" s="1" t="s">
        <v>70</v>
      </c>
    </row>
    <row r="130" spans="1:15" ht="17.100000000000001" customHeight="1" x14ac:dyDescent="0.3">
      <c r="A130" s="3" t="str">
        <f t="shared" si="1"/>
        <v>4600013400C/ PROTOCOLO</v>
      </c>
      <c r="B130" s="14" t="s">
        <v>34</v>
      </c>
      <c r="C130" s="14">
        <v>4600013400</v>
      </c>
      <c r="D130" s="14">
        <v>20</v>
      </c>
      <c r="E130" s="14">
        <v>4002178</v>
      </c>
      <c r="F130" s="14">
        <v>1650</v>
      </c>
      <c r="H130" s="14">
        <v>5210100008</v>
      </c>
      <c r="I130" s="14" t="s">
        <v>78</v>
      </c>
      <c r="J130" s="14" t="s">
        <v>79</v>
      </c>
      <c r="K130" s="15">
        <v>44193</v>
      </c>
      <c r="L130" s="16">
        <v>11.87</v>
      </c>
      <c r="M130" s="1" t="s">
        <v>48</v>
      </c>
      <c r="N130" s="3" t="s">
        <v>40</v>
      </c>
      <c r="O130" s="1" t="s">
        <v>70</v>
      </c>
    </row>
    <row r="131" spans="1:15" ht="17.100000000000001" customHeight="1" x14ac:dyDescent="0.3">
      <c r="A131" s="3" t="str">
        <f t="shared" ref="A131:A194" si="2">C131&amp;O131</f>
        <v>4600013401C/ PROTOCOLO</v>
      </c>
      <c r="B131" s="14" t="s">
        <v>34</v>
      </c>
      <c r="C131" s="14">
        <v>4600013401</v>
      </c>
      <c r="D131" s="14">
        <v>20</v>
      </c>
      <c r="E131" s="14">
        <v>4002178</v>
      </c>
      <c r="F131" s="14">
        <v>1650</v>
      </c>
      <c r="H131" s="14">
        <v>5210100008</v>
      </c>
      <c r="I131" s="14" t="s">
        <v>78</v>
      </c>
      <c r="J131" s="14" t="s">
        <v>79</v>
      </c>
      <c r="K131" s="15">
        <v>44193</v>
      </c>
      <c r="L131" s="16">
        <v>12.18</v>
      </c>
      <c r="M131" s="1" t="s">
        <v>48</v>
      </c>
      <c r="N131" s="3" t="s">
        <v>40</v>
      </c>
      <c r="O131" s="1" t="s">
        <v>70</v>
      </c>
    </row>
    <row r="132" spans="1:15" ht="17.100000000000001" customHeight="1" x14ac:dyDescent="0.3">
      <c r="A132" s="3" t="str">
        <f t="shared" si="2"/>
        <v>4600014190C/ PROTOCOLO</v>
      </c>
      <c r="B132" s="14" t="s">
        <v>34</v>
      </c>
      <c r="C132" s="14">
        <v>4600014190</v>
      </c>
      <c r="D132" s="14">
        <v>20</v>
      </c>
      <c r="E132" s="14">
        <v>4702204</v>
      </c>
      <c r="F132" s="14">
        <v>3760</v>
      </c>
      <c r="H132" s="14">
        <v>5210100008</v>
      </c>
      <c r="I132" s="14" t="s">
        <v>78</v>
      </c>
      <c r="J132" s="14" t="s">
        <v>79</v>
      </c>
      <c r="K132" s="15">
        <v>44358</v>
      </c>
      <c r="L132" s="16">
        <v>6.87</v>
      </c>
      <c r="M132" s="1" t="s">
        <v>87</v>
      </c>
      <c r="N132" s="3" t="s">
        <v>128</v>
      </c>
      <c r="O132" s="1" t="s">
        <v>70</v>
      </c>
    </row>
    <row r="133" spans="1:15" ht="17.100000000000001" customHeight="1" x14ac:dyDescent="0.3">
      <c r="A133" s="3" t="str">
        <f t="shared" si="2"/>
        <v>4600014190C/ PROTOCOLO</v>
      </c>
      <c r="B133" s="14" t="s">
        <v>34</v>
      </c>
      <c r="C133" s="14">
        <v>4600014190</v>
      </c>
      <c r="D133" s="14">
        <v>20</v>
      </c>
      <c r="E133" s="14">
        <v>4702204</v>
      </c>
      <c r="F133" s="14">
        <v>5480</v>
      </c>
      <c r="H133" s="14">
        <v>5210100008</v>
      </c>
      <c r="I133" s="14" t="s">
        <v>78</v>
      </c>
      <c r="J133" s="14" t="s">
        <v>79</v>
      </c>
      <c r="K133" s="15">
        <v>44358</v>
      </c>
      <c r="L133" s="16">
        <v>3.77</v>
      </c>
      <c r="M133" s="1" t="s">
        <v>87</v>
      </c>
      <c r="N133" s="3" t="s">
        <v>128</v>
      </c>
      <c r="O133" s="1" t="s">
        <v>70</v>
      </c>
    </row>
    <row r="134" spans="1:15" ht="17.100000000000001" customHeight="1" x14ac:dyDescent="0.3">
      <c r="A134" s="3" t="str">
        <f t="shared" si="2"/>
        <v>4600014191C/ PROTOCOLO</v>
      </c>
      <c r="B134" s="14" t="s">
        <v>34</v>
      </c>
      <c r="C134" s="14">
        <v>4600014191</v>
      </c>
      <c r="D134" s="14">
        <v>20</v>
      </c>
      <c r="E134" s="14">
        <v>4003480</v>
      </c>
      <c r="F134" s="14">
        <v>3760</v>
      </c>
      <c r="H134" s="14">
        <v>5210100008</v>
      </c>
      <c r="I134" s="14" t="s">
        <v>78</v>
      </c>
      <c r="J134" s="14" t="s">
        <v>79</v>
      </c>
      <c r="K134" s="15">
        <v>44358</v>
      </c>
      <c r="L134" s="16">
        <v>5.65</v>
      </c>
      <c r="M134" s="1" t="s">
        <v>90</v>
      </c>
      <c r="N134" s="3" t="s">
        <v>138</v>
      </c>
      <c r="O134" s="1" t="s">
        <v>70</v>
      </c>
    </row>
    <row r="135" spans="1:15" ht="17.100000000000001" customHeight="1" x14ac:dyDescent="0.3">
      <c r="A135" s="3" t="str">
        <f t="shared" si="2"/>
        <v>4600014191C/ PROTOCOLO</v>
      </c>
      <c r="B135" s="14" t="s">
        <v>34</v>
      </c>
      <c r="C135" s="14">
        <v>4600014191</v>
      </c>
      <c r="D135" s="14">
        <v>20</v>
      </c>
      <c r="E135" s="14">
        <v>4003480</v>
      </c>
      <c r="F135" s="14">
        <v>5470</v>
      </c>
      <c r="H135" s="14">
        <v>5210100008</v>
      </c>
      <c r="I135" s="14" t="s">
        <v>78</v>
      </c>
      <c r="J135" s="14" t="s">
        <v>79</v>
      </c>
      <c r="K135" s="15">
        <v>44358</v>
      </c>
      <c r="L135" s="16">
        <v>3.1</v>
      </c>
      <c r="M135" s="1" t="s">
        <v>90</v>
      </c>
      <c r="N135" s="3" t="s">
        <v>138</v>
      </c>
      <c r="O135" s="1" t="s">
        <v>70</v>
      </c>
    </row>
    <row r="136" spans="1:15" ht="17.100000000000001" customHeight="1" x14ac:dyDescent="0.3">
      <c r="A136" s="3" t="str">
        <f t="shared" si="2"/>
        <v>4600014192C/ PROTOCOLO</v>
      </c>
      <c r="B136" s="14" t="s">
        <v>34</v>
      </c>
      <c r="C136" s="14">
        <v>4600014192</v>
      </c>
      <c r="D136" s="14">
        <v>20</v>
      </c>
      <c r="E136" s="14">
        <v>4002133</v>
      </c>
      <c r="F136" s="14">
        <v>3760</v>
      </c>
      <c r="H136" s="14">
        <v>5210100008</v>
      </c>
      <c r="I136" s="14" t="s">
        <v>78</v>
      </c>
      <c r="J136" s="14" t="s">
        <v>79</v>
      </c>
      <c r="K136" s="15">
        <v>44358</v>
      </c>
      <c r="L136" s="16">
        <v>4.1399999999999997</v>
      </c>
      <c r="M136" s="1" t="s">
        <v>91</v>
      </c>
      <c r="N136" s="3" t="s">
        <v>140</v>
      </c>
      <c r="O136" s="1" t="s">
        <v>70</v>
      </c>
    </row>
    <row r="137" spans="1:15" ht="17.100000000000001" customHeight="1" x14ac:dyDescent="0.3">
      <c r="A137" s="3" t="str">
        <f t="shared" si="2"/>
        <v>4600014192C/ PROTOCOLO</v>
      </c>
      <c r="B137" s="14" t="s">
        <v>34</v>
      </c>
      <c r="C137" s="14">
        <v>4600014192</v>
      </c>
      <c r="D137" s="14">
        <v>20</v>
      </c>
      <c r="E137" s="14">
        <v>4002133</v>
      </c>
      <c r="F137" s="14">
        <v>5470</v>
      </c>
      <c r="H137" s="14">
        <v>5210100008</v>
      </c>
      <c r="I137" s="14" t="s">
        <v>78</v>
      </c>
      <c r="J137" s="14" t="s">
        <v>79</v>
      </c>
      <c r="K137" s="15">
        <v>44358</v>
      </c>
      <c r="L137" s="16">
        <v>4.1399999999999997</v>
      </c>
      <c r="M137" s="1" t="s">
        <v>91</v>
      </c>
      <c r="N137" s="3" t="s">
        <v>140</v>
      </c>
      <c r="O137" s="1" t="s">
        <v>70</v>
      </c>
    </row>
    <row r="138" spans="1:15" ht="17.100000000000001" customHeight="1" x14ac:dyDescent="0.3">
      <c r="A138" s="3" t="str">
        <f t="shared" si="2"/>
        <v>4600014379C/ PROTOCOLO</v>
      </c>
      <c r="B138" s="14" t="s">
        <v>34</v>
      </c>
      <c r="C138" s="14">
        <v>4600014379</v>
      </c>
      <c r="D138" s="14">
        <v>20</v>
      </c>
      <c r="E138" s="14">
        <v>4001647</v>
      </c>
      <c r="F138" s="14">
        <v>1330</v>
      </c>
      <c r="H138" s="14">
        <v>5210100008</v>
      </c>
      <c r="I138" s="14" t="s">
        <v>78</v>
      </c>
      <c r="J138" s="14" t="s">
        <v>79</v>
      </c>
      <c r="K138" s="15">
        <v>44385</v>
      </c>
      <c r="L138" s="16">
        <v>6.9</v>
      </c>
      <c r="M138" s="1" t="s">
        <v>92</v>
      </c>
      <c r="N138" s="3" t="s">
        <v>136</v>
      </c>
      <c r="O138" s="1" t="s">
        <v>70</v>
      </c>
    </row>
    <row r="139" spans="1:15" ht="17.100000000000001" customHeight="1" x14ac:dyDescent="0.3">
      <c r="A139" s="3" t="str">
        <f t="shared" si="2"/>
        <v>4600014379C/ PROTOCOLO</v>
      </c>
      <c r="B139" s="14" t="s">
        <v>34</v>
      </c>
      <c r="C139" s="14">
        <v>4600014379</v>
      </c>
      <c r="D139" s="14">
        <v>20</v>
      </c>
      <c r="E139" s="14">
        <v>4001647</v>
      </c>
      <c r="F139" s="14">
        <v>3040</v>
      </c>
      <c r="H139" s="14">
        <v>5210100008</v>
      </c>
      <c r="I139" s="14" t="s">
        <v>78</v>
      </c>
      <c r="J139" s="14" t="s">
        <v>79</v>
      </c>
      <c r="K139" s="15">
        <v>44385</v>
      </c>
      <c r="L139" s="16">
        <v>3.78</v>
      </c>
      <c r="M139" s="1" t="s">
        <v>92</v>
      </c>
      <c r="N139" s="3" t="s">
        <v>136</v>
      </c>
      <c r="O139" s="1" t="s">
        <v>70</v>
      </c>
    </row>
    <row r="140" spans="1:15" ht="17.100000000000001" customHeight="1" x14ac:dyDescent="0.3">
      <c r="A140" s="3" t="str">
        <f t="shared" si="2"/>
        <v>4600014381C/ PROTOCOLO</v>
      </c>
      <c r="B140" s="14" t="s">
        <v>34</v>
      </c>
      <c r="C140" s="14">
        <v>4600014381</v>
      </c>
      <c r="D140" s="14">
        <v>20</v>
      </c>
      <c r="E140" s="14">
        <v>4704014</v>
      </c>
      <c r="F140" s="14">
        <v>1330</v>
      </c>
      <c r="H140" s="14">
        <v>5210100008</v>
      </c>
      <c r="I140" s="14" t="s">
        <v>78</v>
      </c>
      <c r="J140" s="14" t="s">
        <v>79</v>
      </c>
      <c r="K140" s="15">
        <v>44385</v>
      </c>
      <c r="L140" s="16">
        <v>7.13</v>
      </c>
      <c r="M140" s="1" t="s">
        <v>93</v>
      </c>
      <c r="N140" s="3" t="s">
        <v>131</v>
      </c>
      <c r="O140" s="1" t="s">
        <v>70</v>
      </c>
    </row>
    <row r="141" spans="1:15" ht="17.100000000000001" customHeight="1" x14ac:dyDescent="0.3">
      <c r="A141" s="3" t="str">
        <f t="shared" si="2"/>
        <v>4600014381C/ PROTOCOLO</v>
      </c>
      <c r="B141" s="14" t="s">
        <v>34</v>
      </c>
      <c r="C141" s="14">
        <v>4600014381</v>
      </c>
      <c r="D141" s="14">
        <v>20</v>
      </c>
      <c r="E141" s="14">
        <v>4704014</v>
      </c>
      <c r="F141" s="14">
        <v>3040</v>
      </c>
      <c r="H141" s="14">
        <v>5210100008</v>
      </c>
      <c r="I141" s="14" t="s">
        <v>78</v>
      </c>
      <c r="J141" s="14" t="s">
        <v>79</v>
      </c>
      <c r="K141" s="15">
        <v>44385</v>
      </c>
      <c r="L141" s="16">
        <v>3.91</v>
      </c>
      <c r="M141" s="1" t="s">
        <v>93</v>
      </c>
      <c r="N141" s="3" t="s">
        <v>131</v>
      </c>
      <c r="O141" s="1" t="s">
        <v>70</v>
      </c>
    </row>
    <row r="142" spans="1:15" ht="17.100000000000001" customHeight="1" x14ac:dyDescent="0.3">
      <c r="A142" s="3" t="str">
        <f t="shared" si="2"/>
        <v>4600014921C/ PROTOCOLO</v>
      </c>
      <c r="B142" s="14" t="s">
        <v>34</v>
      </c>
      <c r="C142" s="14">
        <v>4600014921</v>
      </c>
      <c r="D142" s="14">
        <v>20</v>
      </c>
      <c r="E142" s="14">
        <v>4005772</v>
      </c>
      <c r="F142" s="14">
        <v>1330</v>
      </c>
      <c r="H142" s="14">
        <v>5210100008</v>
      </c>
      <c r="I142" s="14" t="s">
        <v>78</v>
      </c>
      <c r="J142" s="14" t="s">
        <v>79</v>
      </c>
      <c r="K142" s="15">
        <v>44462</v>
      </c>
      <c r="L142" s="16">
        <v>5.89</v>
      </c>
      <c r="M142" s="1" t="s">
        <v>52</v>
      </c>
      <c r="N142" s="3" t="s">
        <v>141</v>
      </c>
      <c r="O142" s="1" t="s">
        <v>70</v>
      </c>
    </row>
    <row r="143" spans="1:15" ht="17.100000000000001" customHeight="1" x14ac:dyDescent="0.3">
      <c r="A143" s="3" t="str">
        <f t="shared" si="2"/>
        <v>4600014921C/ PROTOCOLO</v>
      </c>
      <c r="B143" s="14" t="s">
        <v>34</v>
      </c>
      <c r="C143" s="14">
        <v>4600014921</v>
      </c>
      <c r="D143" s="14">
        <v>20</v>
      </c>
      <c r="E143" s="14">
        <v>4005772</v>
      </c>
      <c r="F143" s="14">
        <v>3040</v>
      </c>
      <c r="H143" s="14">
        <v>5210100008</v>
      </c>
      <c r="I143" s="14" t="s">
        <v>78</v>
      </c>
      <c r="J143" s="14" t="s">
        <v>79</v>
      </c>
      <c r="K143" s="15">
        <v>44462</v>
      </c>
      <c r="L143" s="16">
        <v>3.23</v>
      </c>
      <c r="M143" s="1" t="s">
        <v>52</v>
      </c>
      <c r="N143" s="3" t="s">
        <v>141</v>
      </c>
      <c r="O143" s="1" t="s">
        <v>70</v>
      </c>
    </row>
    <row r="144" spans="1:15" ht="17.100000000000001" customHeight="1" x14ac:dyDescent="0.3">
      <c r="A144" s="3" t="str">
        <f t="shared" si="2"/>
        <v>4600015199C/ PROTOCOLO</v>
      </c>
      <c r="B144" s="14" t="s">
        <v>34</v>
      </c>
      <c r="C144" s="14">
        <v>4600015199</v>
      </c>
      <c r="D144" s="14">
        <v>20</v>
      </c>
      <c r="E144" s="14">
        <v>4001596</v>
      </c>
      <c r="F144" s="14">
        <v>1340</v>
      </c>
      <c r="H144" s="14">
        <v>5210100008</v>
      </c>
      <c r="I144" s="14" t="s">
        <v>78</v>
      </c>
      <c r="J144" s="14" t="s">
        <v>79</v>
      </c>
      <c r="K144" s="15">
        <v>44488</v>
      </c>
      <c r="L144" s="16">
        <v>5.65</v>
      </c>
      <c r="M144" s="1" t="s">
        <v>94</v>
      </c>
      <c r="N144" s="3" t="s">
        <v>127</v>
      </c>
      <c r="O144" s="1" t="s">
        <v>70</v>
      </c>
    </row>
    <row r="145" spans="1:15" ht="17.100000000000001" customHeight="1" x14ac:dyDescent="0.3">
      <c r="A145" s="3" t="str">
        <f t="shared" si="2"/>
        <v>4600015199C/ PROTOCOLO</v>
      </c>
      <c r="B145" s="14" t="s">
        <v>34</v>
      </c>
      <c r="C145" s="14">
        <v>4600015199</v>
      </c>
      <c r="D145" s="14">
        <v>20</v>
      </c>
      <c r="E145" s="14">
        <v>4001596</v>
      </c>
      <c r="F145" s="14">
        <v>3040</v>
      </c>
      <c r="H145" s="14">
        <v>5210100008</v>
      </c>
      <c r="I145" s="14" t="s">
        <v>78</v>
      </c>
      <c r="J145" s="14" t="s">
        <v>79</v>
      </c>
      <c r="K145" s="15">
        <v>44488</v>
      </c>
      <c r="L145" s="16">
        <v>3.1</v>
      </c>
      <c r="M145" s="1" t="s">
        <v>94</v>
      </c>
      <c r="N145" s="3" t="s">
        <v>127</v>
      </c>
      <c r="O145" s="1" t="s">
        <v>70</v>
      </c>
    </row>
    <row r="146" spans="1:15" ht="17.100000000000001" customHeight="1" x14ac:dyDescent="0.3">
      <c r="A146" s="3" t="str">
        <f t="shared" si="2"/>
        <v>4600015228C/ PROTOCOLO</v>
      </c>
      <c r="B146" s="14" t="s">
        <v>34</v>
      </c>
      <c r="C146" s="14">
        <v>4600015228</v>
      </c>
      <c r="D146" s="14">
        <v>20</v>
      </c>
      <c r="E146" s="14">
        <v>4001924</v>
      </c>
      <c r="F146" s="14">
        <v>1300</v>
      </c>
      <c r="H146" s="14">
        <v>5210100008</v>
      </c>
      <c r="I146" s="14" t="s">
        <v>78</v>
      </c>
      <c r="J146" s="14" t="s">
        <v>79</v>
      </c>
      <c r="K146" s="15">
        <v>44490</v>
      </c>
      <c r="L146" s="16">
        <v>4.33</v>
      </c>
      <c r="M146" s="1" t="s">
        <v>95</v>
      </c>
      <c r="N146" s="3" t="s">
        <v>115</v>
      </c>
      <c r="O146" s="1" t="s">
        <v>70</v>
      </c>
    </row>
    <row r="147" spans="1:15" ht="17.100000000000001" customHeight="1" x14ac:dyDescent="0.3">
      <c r="A147" s="3" t="str">
        <f t="shared" si="2"/>
        <v>4600015228C/ PROTOCOLO</v>
      </c>
      <c r="B147" s="14" t="s">
        <v>34</v>
      </c>
      <c r="C147" s="14">
        <v>4600015228</v>
      </c>
      <c r="D147" s="14">
        <v>20</v>
      </c>
      <c r="E147" s="14">
        <v>4001924</v>
      </c>
      <c r="F147" s="14">
        <v>3040</v>
      </c>
      <c r="H147" s="14">
        <v>5210100008</v>
      </c>
      <c r="I147" s="14" t="s">
        <v>78</v>
      </c>
      <c r="J147" s="14" t="s">
        <v>79</v>
      </c>
      <c r="K147" s="15">
        <v>44490</v>
      </c>
      <c r="L147" s="16">
        <v>4.33</v>
      </c>
      <c r="M147" s="1" t="s">
        <v>95</v>
      </c>
      <c r="N147" s="3" t="s">
        <v>115</v>
      </c>
      <c r="O147" s="1" t="s">
        <v>70</v>
      </c>
    </row>
    <row r="148" spans="1:15" ht="17.100000000000001" customHeight="1" x14ac:dyDescent="0.3">
      <c r="A148" s="3" t="str">
        <f t="shared" si="2"/>
        <v>4600016393C/ PROTOCOLO</v>
      </c>
      <c r="B148" s="14" t="s">
        <v>34</v>
      </c>
      <c r="C148" s="14">
        <v>4600016393</v>
      </c>
      <c r="D148" s="14">
        <v>20</v>
      </c>
      <c r="E148" s="14">
        <v>4001635</v>
      </c>
      <c r="F148" s="14">
        <v>1330</v>
      </c>
      <c r="H148" s="14">
        <v>5210100008</v>
      </c>
      <c r="I148" s="14" t="s">
        <v>78</v>
      </c>
      <c r="J148" s="14" t="s">
        <v>79</v>
      </c>
      <c r="K148" s="15">
        <v>44715</v>
      </c>
      <c r="L148" s="16">
        <v>6.37</v>
      </c>
      <c r="M148" s="1" t="s">
        <v>96</v>
      </c>
      <c r="N148" s="3" t="s">
        <v>120</v>
      </c>
      <c r="O148" s="1" t="s">
        <v>70</v>
      </c>
    </row>
    <row r="149" spans="1:15" ht="17.100000000000001" customHeight="1" x14ac:dyDescent="0.3">
      <c r="A149" s="3" t="str">
        <f t="shared" si="2"/>
        <v>4600016393C/ PROTOCOLO</v>
      </c>
      <c r="B149" s="14" t="s">
        <v>34</v>
      </c>
      <c r="C149" s="14">
        <v>4600016393</v>
      </c>
      <c r="D149" s="14">
        <v>20</v>
      </c>
      <c r="E149" s="14">
        <v>4001635</v>
      </c>
      <c r="F149" s="14">
        <v>3040</v>
      </c>
      <c r="H149" s="14">
        <v>5210100008</v>
      </c>
      <c r="I149" s="14" t="s">
        <v>78</v>
      </c>
      <c r="J149" s="14" t="s">
        <v>79</v>
      </c>
      <c r="K149" s="15">
        <v>44715</v>
      </c>
      <c r="L149" s="16">
        <v>3.49</v>
      </c>
      <c r="M149" s="1" t="s">
        <v>96</v>
      </c>
      <c r="N149" s="3" t="s">
        <v>120</v>
      </c>
      <c r="O149" s="1" t="s">
        <v>70</v>
      </c>
    </row>
    <row r="150" spans="1:15" ht="17.100000000000001" customHeight="1" x14ac:dyDescent="0.3">
      <c r="A150" s="3" t="str">
        <f t="shared" si="2"/>
        <v>4600019055C/ PROTOCOLO</v>
      </c>
      <c r="B150" s="14" t="s">
        <v>34</v>
      </c>
      <c r="C150" s="14">
        <v>4600019055</v>
      </c>
      <c r="D150" s="14">
        <v>20</v>
      </c>
      <c r="E150" s="14">
        <v>4003908</v>
      </c>
      <c r="F150" s="14">
        <v>1680</v>
      </c>
      <c r="H150" s="14">
        <v>5210100008</v>
      </c>
      <c r="I150" s="14" t="s">
        <v>78</v>
      </c>
      <c r="J150" s="14" t="s">
        <v>79</v>
      </c>
      <c r="K150" s="15">
        <v>45093</v>
      </c>
      <c r="L150" s="16">
        <v>4.6500000000000004</v>
      </c>
      <c r="M150" s="1" t="s">
        <v>85</v>
      </c>
      <c r="N150" s="3" t="s">
        <v>118</v>
      </c>
      <c r="O150" s="1" t="s">
        <v>70</v>
      </c>
    </row>
    <row r="151" spans="1:15" ht="17.100000000000001" customHeight="1" x14ac:dyDescent="0.3">
      <c r="A151" s="3" t="str">
        <f t="shared" si="2"/>
        <v>4600019670C/ PROTOCOLO</v>
      </c>
      <c r="B151" s="14" t="s">
        <v>34</v>
      </c>
      <c r="C151" s="14">
        <v>4600019670</v>
      </c>
      <c r="D151" s="14">
        <v>20</v>
      </c>
      <c r="E151" s="14">
        <v>3001425</v>
      </c>
      <c r="F151" s="14">
        <v>1620</v>
      </c>
      <c r="H151" s="14">
        <v>5210100008</v>
      </c>
      <c r="I151" s="14" t="s">
        <v>78</v>
      </c>
      <c r="J151" s="14" t="s">
        <v>79</v>
      </c>
      <c r="K151" s="15">
        <v>45187</v>
      </c>
      <c r="L151" s="16">
        <v>9.76</v>
      </c>
      <c r="M151" s="1" t="s">
        <v>57</v>
      </c>
      <c r="N151" s="3" t="s">
        <v>44</v>
      </c>
      <c r="O151" s="1" t="s">
        <v>70</v>
      </c>
    </row>
    <row r="152" spans="1:15" ht="17.100000000000001" customHeight="1" x14ac:dyDescent="0.3">
      <c r="A152" s="3" t="str">
        <f t="shared" si="2"/>
        <v>4600019447S/ PROTOCOLO</v>
      </c>
      <c r="B152" s="14" t="s">
        <v>34</v>
      </c>
      <c r="C152" s="14">
        <v>4600019447</v>
      </c>
      <c r="D152" s="14">
        <v>30</v>
      </c>
      <c r="E152" s="14">
        <v>4702865</v>
      </c>
      <c r="F152" s="14">
        <v>1190</v>
      </c>
      <c r="H152" s="14">
        <v>5024000070</v>
      </c>
      <c r="I152" s="14" t="s">
        <v>75</v>
      </c>
      <c r="J152" s="14" t="s">
        <v>76</v>
      </c>
      <c r="K152" s="15">
        <v>45156</v>
      </c>
      <c r="L152" s="16">
        <v>20.399999999999999</v>
      </c>
      <c r="M152" s="1" t="s">
        <v>54</v>
      </c>
      <c r="N152" s="3" t="s">
        <v>143</v>
      </c>
      <c r="O152" s="1" t="s">
        <v>69</v>
      </c>
    </row>
    <row r="153" spans="1:15" ht="17.100000000000001" customHeight="1" x14ac:dyDescent="0.3">
      <c r="A153" s="3" t="str">
        <f t="shared" si="2"/>
        <v>4600019447C/ PROTOCOLO</v>
      </c>
      <c r="B153" s="14" t="s">
        <v>34</v>
      </c>
      <c r="C153" s="14">
        <v>4600019447</v>
      </c>
      <c r="D153" s="14">
        <v>30</v>
      </c>
      <c r="E153" s="14">
        <v>4702865</v>
      </c>
      <c r="F153" s="14">
        <v>1200</v>
      </c>
      <c r="H153" s="14">
        <v>5024000071</v>
      </c>
      <c r="I153" s="14" t="s">
        <v>77</v>
      </c>
      <c r="J153" s="14" t="s">
        <v>76</v>
      </c>
      <c r="K153" s="15">
        <v>45156</v>
      </c>
      <c r="L153" s="16">
        <v>23.87</v>
      </c>
      <c r="M153" s="1" t="s">
        <v>54</v>
      </c>
      <c r="N153" s="3" t="s">
        <v>143</v>
      </c>
      <c r="O153" s="1" t="s">
        <v>70</v>
      </c>
    </row>
    <row r="154" spans="1:15" ht="17.100000000000001" customHeight="1" x14ac:dyDescent="0.3">
      <c r="A154" s="3" t="str">
        <f t="shared" si="2"/>
        <v>4600014382C/ PROTOCOLO</v>
      </c>
      <c r="B154" s="14" t="s">
        <v>34</v>
      </c>
      <c r="C154" s="14">
        <v>4600014382</v>
      </c>
      <c r="D154" s="14">
        <v>30</v>
      </c>
      <c r="E154" s="14">
        <v>4001651</v>
      </c>
      <c r="F154" s="14">
        <v>2440</v>
      </c>
      <c r="H154" s="14">
        <v>5210100008</v>
      </c>
      <c r="I154" s="14" t="s">
        <v>78</v>
      </c>
      <c r="J154" s="14" t="s">
        <v>79</v>
      </c>
      <c r="K154" s="15">
        <v>44385</v>
      </c>
      <c r="L154" s="16">
        <v>4.1399999999999997</v>
      </c>
      <c r="M154" s="1" t="s">
        <v>97</v>
      </c>
      <c r="N154" s="3" t="s">
        <v>124</v>
      </c>
      <c r="O154" s="1" t="s">
        <v>70</v>
      </c>
    </row>
    <row r="155" spans="1:15" ht="17.100000000000001" customHeight="1" x14ac:dyDescent="0.3">
      <c r="A155" s="3" t="str">
        <f t="shared" si="2"/>
        <v>4600016654C/ PROTOCOLO</v>
      </c>
      <c r="B155" s="14" t="s">
        <v>34</v>
      </c>
      <c r="C155" s="14">
        <v>4600016654</v>
      </c>
      <c r="D155" s="14">
        <v>30</v>
      </c>
      <c r="E155" s="14">
        <v>4707380</v>
      </c>
      <c r="F155" s="14">
        <v>2320</v>
      </c>
      <c r="H155" s="14">
        <v>5210100008</v>
      </c>
      <c r="I155" s="14" t="s">
        <v>78</v>
      </c>
      <c r="J155" s="14" t="s">
        <v>79</v>
      </c>
      <c r="K155" s="15">
        <v>44763</v>
      </c>
      <c r="L155" s="16">
        <v>4.07</v>
      </c>
      <c r="M155" s="1" t="s">
        <v>98</v>
      </c>
      <c r="N155" s="3" t="s">
        <v>134</v>
      </c>
      <c r="O155" s="1" t="s">
        <v>70</v>
      </c>
    </row>
    <row r="156" spans="1:15" ht="17.100000000000001" customHeight="1" x14ac:dyDescent="0.3">
      <c r="A156" s="3" t="str">
        <f t="shared" si="2"/>
        <v>4600014920C/ PROTOCOLO</v>
      </c>
      <c r="B156" s="14" t="s">
        <v>34</v>
      </c>
      <c r="C156" s="14">
        <v>4600014920</v>
      </c>
      <c r="D156" s="14">
        <v>30</v>
      </c>
      <c r="E156" s="14">
        <v>4701731</v>
      </c>
      <c r="F156" s="14">
        <v>3000</v>
      </c>
      <c r="H156" s="14">
        <v>5210100008</v>
      </c>
      <c r="I156" s="14" t="s">
        <v>78</v>
      </c>
      <c r="J156" s="14" t="s">
        <v>79</v>
      </c>
      <c r="K156" s="15">
        <v>44462</v>
      </c>
      <c r="L156" s="16">
        <v>6.39</v>
      </c>
      <c r="M156" s="1" t="s">
        <v>99</v>
      </c>
      <c r="N156" s="3" t="s">
        <v>116</v>
      </c>
      <c r="O156" s="1" t="s">
        <v>70</v>
      </c>
    </row>
    <row r="157" spans="1:15" ht="17.100000000000001" customHeight="1" x14ac:dyDescent="0.3">
      <c r="A157" s="3" t="str">
        <f t="shared" si="2"/>
        <v>4600014920C/ PROTOCOLO</v>
      </c>
      <c r="B157" s="14" t="s">
        <v>34</v>
      </c>
      <c r="C157" s="14">
        <v>4600014920</v>
      </c>
      <c r="D157" s="14">
        <v>30</v>
      </c>
      <c r="E157" s="14">
        <v>4701731</v>
      </c>
      <c r="F157" s="14">
        <v>4700</v>
      </c>
      <c r="H157" s="14">
        <v>5210100008</v>
      </c>
      <c r="I157" s="14" t="s">
        <v>78</v>
      </c>
      <c r="J157" s="14" t="s">
        <v>79</v>
      </c>
      <c r="K157" s="15">
        <v>44462</v>
      </c>
      <c r="L157" s="16">
        <v>3.5</v>
      </c>
      <c r="M157" s="1" t="s">
        <v>99</v>
      </c>
      <c r="N157" s="3" t="s">
        <v>116</v>
      </c>
      <c r="O157" s="1" t="s">
        <v>70</v>
      </c>
    </row>
    <row r="158" spans="1:15" ht="17.100000000000001" customHeight="1" x14ac:dyDescent="0.3">
      <c r="A158" s="3" t="str">
        <f t="shared" si="2"/>
        <v>4600014921C/ PROTOCOLO</v>
      </c>
      <c r="B158" s="14" t="s">
        <v>34</v>
      </c>
      <c r="C158" s="14">
        <v>4600014921</v>
      </c>
      <c r="D158" s="14">
        <v>30</v>
      </c>
      <c r="E158" s="14">
        <v>4005772</v>
      </c>
      <c r="F158" s="14">
        <v>1620</v>
      </c>
      <c r="H158" s="14">
        <v>5210100008</v>
      </c>
      <c r="I158" s="14" t="s">
        <v>78</v>
      </c>
      <c r="J158" s="14" t="s">
        <v>79</v>
      </c>
      <c r="K158" s="15">
        <v>44462</v>
      </c>
      <c r="L158" s="16">
        <v>5.41</v>
      </c>
      <c r="M158" s="1" t="s">
        <v>52</v>
      </c>
      <c r="N158" s="3" t="s">
        <v>141</v>
      </c>
      <c r="O158" s="1" t="s">
        <v>70</v>
      </c>
    </row>
    <row r="159" spans="1:15" ht="17.100000000000001" customHeight="1" x14ac:dyDescent="0.3">
      <c r="A159" s="3" t="str">
        <f t="shared" si="2"/>
        <v>4600016393C/ PROTOCOLO</v>
      </c>
      <c r="B159" s="14" t="s">
        <v>34</v>
      </c>
      <c r="C159" s="14">
        <v>4600016393</v>
      </c>
      <c r="D159" s="14">
        <v>30</v>
      </c>
      <c r="E159" s="14">
        <v>4001635</v>
      </c>
      <c r="F159" s="14">
        <v>1500</v>
      </c>
      <c r="H159" s="14">
        <v>5210100008</v>
      </c>
      <c r="I159" s="14" t="s">
        <v>78</v>
      </c>
      <c r="J159" s="14" t="s">
        <v>79</v>
      </c>
      <c r="K159" s="15">
        <v>44715</v>
      </c>
      <c r="L159" s="16">
        <v>6.53</v>
      </c>
      <c r="M159" s="1" t="s">
        <v>96</v>
      </c>
      <c r="N159" s="3" t="s">
        <v>120</v>
      </c>
      <c r="O159" s="1" t="s">
        <v>70</v>
      </c>
    </row>
    <row r="160" spans="1:15" ht="17.100000000000001" customHeight="1" x14ac:dyDescent="0.3">
      <c r="A160" s="3" t="str">
        <f t="shared" si="2"/>
        <v>4600014381C/ PROTOCOLO</v>
      </c>
      <c r="B160" s="14" t="s">
        <v>34</v>
      </c>
      <c r="C160" s="14">
        <v>4600014381</v>
      </c>
      <c r="D160" s="14">
        <v>30</v>
      </c>
      <c r="E160" s="14">
        <v>4704014</v>
      </c>
      <c r="F160" s="14">
        <v>1500</v>
      </c>
      <c r="H160" s="14">
        <v>5210100008</v>
      </c>
      <c r="I160" s="14" t="s">
        <v>78</v>
      </c>
      <c r="J160" s="14" t="s">
        <v>79</v>
      </c>
      <c r="K160" s="15">
        <v>44385</v>
      </c>
      <c r="L160" s="16">
        <v>6.53</v>
      </c>
      <c r="M160" s="1" t="s">
        <v>93</v>
      </c>
      <c r="N160" s="3" t="s">
        <v>131</v>
      </c>
      <c r="O160" s="1" t="s">
        <v>70</v>
      </c>
    </row>
    <row r="161" spans="1:15" ht="17.100000000000001" customHeight="1" x14ac:dyDescent="0.3">
      <c r="A161" s="3" t="str">
        <f t="shared" si="2"/>
        <v>4600014382S/ PROTOCOLO</v>
      </c>
      <c r="B161" s="14" t="s">
        <v>34</v>
      </c>
      <c r="C161" s="14">
        <v>4600014382</v>
      </c>
      <c r="D161" s="14">
        <v>30</v>
      </c>
      <c r="E161" s="14">
        <v>4001651</v>
      </c>
      <c r="F161" s="14">
        <v>2450</v>
      </c>
      <c r="H161" s="14">
        <v>5210100009</v>
      </c>
      <c r="I161" s="14" t="s">
        <v>80</v>
      </c>
      <c r="J161" s="14" t="s">
        <v>79</v>
      </c>
      <c r="K161" s="15">
        <v>44385</v>
      </c>
      <c r="L161" s="16">
        <v>3.52</v>
      </c>
      <c r="M161" s="1" t="s">
        <v>97</v>
      </c>
      <c r="N161" s="3" t="s">
        <v>124</v>
      </c>
      <c r="O161" s="1" t="s">
        <v>69</v>
      </c>
    </row>
    <row r="162" spans="1:15" ht="17.100000000000001" customHeight="1" x14ac:dyDescent="0.3">
      <c r="A162" s="3" t="str">
        <f t="shared" si="2"/>
        <v>4600016654S/ PROTOCOLO</v>
      </c>
      <c r="B162" s="14" t="s">
        <v>34</v>
      </c>
      <c r="C162" s="14">
        <v>4600016654</v>
      </c>
      <c r="D162" s="14">
        <v>30</v>
      </c>
      <c r="E162" s="14">
        <v>4707380</v>
      </c>
      <c r="F162" s="14">
        <v>2330</v>
      </c>
      <c r="H162" s="14">
        <v>5210100009</v>
      </c>
      <c r="I162" s="14" t="s">
        <v>80</v>
      </c>
      <c r="J162" s="14" t="s">
        <v>79</v>
      </c>
      <c r="K162" s="15">
        <v>44763</v>
      </c>
      <c r="L162" s="16">
        <v>4.58</v>
      </c>
      <c r="M162" s="1" t="s">
        <v>98</v>
      </c>
      <c r="N162" s="3" t="s">
        <v>134</v>
      </c>
      <c r="O162" s="1" t="s">
        <v>69</v>
      </c>
    </row>
    <row r="163" spans="1:15" ht="17.100000000000001" customHeight="1" x14ac:dyDescent="0.3">
      <c r="A163" s="3" t="str">
        <f t="shared" si="2"/>
        <v>4600014921S/ PROTOCOLO</v>
      </c>
      <c r="B163" s="14" t="s">
        <v>34</v>
      </c>
      <c r="C163" s="14">
        <v>4600014921</v>
      </c>
      <c r="D163" s="14">
        <v>30</v>
      </c>
      <c r="E163" s="14">
        <v>4005772</v>
      </c>
      <c r="F163" s="14">
        <v>1630</v>
      </c>
      <c r="H163" s="14">
        <v>5210100009</v>
      </c>
      <c r="I163" s="14" t="s">
        <v>80</v>
      </c>
      <c r="J163" s="14" t="s">
        <v>79</v>
      </c>
      <c r="K163" s="15">
        <v>44462</v>
      </c>
      <c r="L163" s="16">
        <v>2.2599999999999998</v>
      </c>
      <c r="M163" s="1" t="s">
        <v>52</v>
      </c>
      <c r="N163" s="3" t="s">
        <v>141</v>
      </c>
      <c r="O163" s="1" t="s">
        <v>69</v>
      </c>
    </row>
    <row r="164" spans="1:15" ht="17.100000000000001" customHeight="1" x14ac:dyDescent="0.3">
      <c r="A164" s="3" t="str">
        <f t="shared" si="2"/>
        <v>4600016393S/ PROTOCOLO</v>
      </c>
      <c r="B164" s="14" t="s">
        <v>34</v>
      </c>
      <c r="C164" s="14">
        <v>4600016393</v>
      </c>
      <c r="D164" s="14">
        <v>30</v>
      </c>
      <c r="E164" s="14">
        <v>4001635</v>
      </c>
      <c r="F164" s="14">
        <v>140</v>
      </c>
      <c r="H164" s="14">
        <v>5210100009</v>
      </c>
      <c r="I164" s="14" t="s">
        <v>80</v>
      </c>
      <c r="J164" s="14" t="s">
        <v>79</v>
      </c>
      <c r="K164" s="15">
        <v>44715</v>
      </c>
      <c r="L164" s="16">
        <v>4.37</v>
      </c>
      <c r="M164" s="1" t="s">
        <v>96</v>
      </c>
      <c r="N164" s="3" t="s">
        <v>120</v>
      </c>
      <c r="O164" s="1" t="s">
        <v>69</v>
      </c>
    </row>
    <row r="165" spans="1:15" ht="17.100000000000001" customHeight="1" x14ac:dyDescent="0.3">
      <c r="A165" s="3" t="str">
        <f t="shared" si="2"/>
        <v>4600014381S/ PROTOCOLO</v>
      </c>
      <c r="B165" s="14" t="s">
        <v>34</v>
      </c>
      <c r="C165" s="14">
        <v>4600014381</v>
      </c>
      <c r="D165" s="14">
        <v>30</v>
      </c>
      <c r="E165" s="14">
        <v>4704014</v>
      </c>
      <c r="F165" s="14">
        <v>140</v>
      </c>
      <c r="H165" s="14">
        <v>5210100009</v>
      </c>
      <c r="I165" s="14" t="s">
        <v>80</v>
      </c>
      <c r="J165" s="14" t="s">
        <v>79</v>
      </c>
      <c r="K165" s="15">
        <v>44385</v>
      </c>
      <c r="L165" s="16">
        <v>4.37</v>
      </c>
      <c r="M165" s="1" t="s">
        <v>93</v>
      </c>
      <c r="N165" s="3" t="s">
        <v>131</v>
      </c>
      <c r="O165" s="1" t="s">
        <v>69</v>
      </c>
    </row>
    <row r="166" spans="1:15" ht="17.100000000000001" customHeight="1" x14ac:dyDescent="0.3">
      <c r="A166" s="3" t="str">
        <f t="shared" si="2"/>
        <v>4600019449S/ PROTOCOLO</v>
      </c>
      <c r="B166" s="14" t="s">
        <v>34</v>
      </c>
      <c r="C166" s="14">
        <v>4600019449</v>
      </c>
      <c r="D166" s="14">
        <v>40</v>
      </c>
      <c r="E166" s="14">
        <v>4703909</v>
      </c>
      <c r="F166" s="14">
        <v>1190</v>
      </c>
      <c r="H166" s="14">
        <v>5024000070</v>
      </c>
      <c r="I166" s="14" t="s">
        <v>75</v>
      </c>
      <c r="J166" s="14" t="s">
        <v>76</v>
      </c>
      <c r="K166" s="15">
        <v>45156</v>
      </c>
      <c r="L166" s="16">
        <v>16.57</v>
      </c>
      <c r="M166" s="1" t="s">
        <v>56</v>
      </c>
      <c r="N166" s="3" t="s">
        <v>41</v>
      </c>
      <c r="O166" s="1" t="s">
        <v>69</v>
      </c>
    </row>
    <row r="167" spans="1:15" ht="17.100000000000001" customHeight="1" x14ac:dyDescent="0.3">
      <c r="A167" s="3" t="str">
        <f t="shared" si="2"/>
        <v>4600019449C/ PROTOCOLO</v>
      </c>
      <c r="B167" s="14" t="s">
        <v>34</v>
      </c>
      <c r="C167" s="14">
        <v>4600019449</v>
      </c>
      <c r="D167" s="14">
        <v>40</v>
      </c>
      <c r="E167" s="14">
        <v>4703909</v>
      </c>
      <c r="F167" s="14">
        <v>1200</v>
      </c>
      <c r="H167" s="14">
        <v>5024000071</v>
      </c>
      <c r="I167" s="14" t="s">
        <v>77</v>
      </c>
      <c r="J167" s="14" t="s">
        <v>76</v>
      </c>
      <c r="K167" s="15">
        <v>45156</v>
      </c>
      <c r="L167" s="16">
        <v>19.39</v>
      </c>
      <c r="M167" s="1" t="s">
        <v>56</v>
      </c>
      <c r="N167" s="3" t="s">
        <v>41</v>
      </c>
      <c r="O167" s="1" t="s">
        <v>70</v>
      </c>
    </row>
    <row r="168" spans="1:15" ht="17.100000000000001" customHeight="1" x14ac:dyDescent="0.3">
      <c r="A168" s="3" t="str">
        <f t="shared" si="2"/>
        <v>4600014720C/ PROTOCOLO</v>
      </c>
      <c r="B168" s="14" t="s">
        <v>34</v>
      </c>
      <c r="C168" s="14">
        <v>4600014720</v>
      </c>
      <c r="D168" s="14">
        <v>40</v>
      </c>
      <c r="E168" s="14">
        <v>4001596</v>
      </c>
      <c r="F168" s="14">
        <v>1320</v>
      </c>
      <c r="H168" s="14">
        <v>5210100008</v>
      </c>
      <c r="I168" s="14" t="s">
        <v>78</v>
      </c>
      <c r="J168" s="14" t="s">
        <v>79</v>
      </c>
      <c r="K168" s="15">
        <v>44435</v>
      </c>
      <c r="L168" s="16">
        <v>6.13</v>
      </c>
      <c r="M168" s="1" t="s">
        <v>94</v>
      </c>
      <c r="N168" s="3" t="s">
        <v>127</v>
      </c>
      <c r="O168" s="1" t="s">
        <v>70</v>
      </c>
    </row>
    <row r="169" spans="1:15" ht="17.100000000000001" customHeight="1" x14ac:dyDescent="0.3">
      <c r="A169" s="3" t="str">
        <f t="shared" si="2"/>
        <v>4600014720C/ PROTOCOLO</v>
      </c>
      <c r="B169" s="14" t="s">
        <v>34</v>
      </c>
      <c r="C169" s="14">
        <v>4600014720</v>
      </c>
      <c r="D169" s="14">
        <v>40</v>
      </c>
      <c r="E169" s="14">
        <v>4001596</v>
      </c>
      <c r="F169" s="14">
        <v>3020</v>
      </c>
      <c r="H169" s="14">
        <v>5210100008</v>
      </c>
      <c r="I169" s="14" t="s">
        <v>78</v>
      </c>
      <c r="J169" s="14" t="s">
        <v>79</v>
      </c>
      <c r="K169" s="15">
        <v>44435</v>
      </c>
      <c r="L169" s="16">
        <v>3.36</v>
      </c>
      <c r="M169" s="1" t="s">
        <v>94</v>
      </c>
      <c r="N169" s="3" t="s">
        <v>127</v>
      </c>
      <c r="O169" s="1" t="s">
        <v>70</v>
      </c>
    </row>
    <row r="170" spans="1:15" ht="17.100000000000001" customHeight="1" x14ac:dyDescent="0.3">
      <c r="A170" s="3" t="str">
        <f t="shared" si="2"/>
        <v>4600014921C/ PROTOCOLO</v>
      </c>
      <c r="B170" s="14" t="s">
        <v>34</v>
      </c>
      <c r="C170" s="14">
        <v>4600014921</v>
      </c>
      <c r="D170" s="14">
        <v>40</v>
      </c>
      <c r="E170" s="14">
        <v>4005772</v>
      </c>
      <c r="F170" s="14">
        <v>2570</v>
      </c>
      <c r="H170" s="14">
        <v>5210100008</v>
      </c>
      <c r="I170" s="14" t="s">
        <v>78</v>
      </c>
      <c r="J170" s="14" t="s">
        <v>79</v>
      </c>
      <c r="K170" s="15">
        <v>44462</v>
      </c>
      <c r="L170" s="16">
        <v>5.41</v>
      </c>
      <c r="M170" s="1" t="s">
        <v>52</v>
      </c>
      <c r="N170" s="3" t="s">
        <v>141</v>
      </c>
      <c r="O170" s="1" t="s">
        <v>70</v>
      </c>
    </row>
    <row r="171" spans="1:15" ht="17.100000000000001" customHeight="1" x14ac:dyDescent="0.3">
      <c r="A171" s="3" t="str">
        <f t="shared" si="2"/>
        <v>4600016654C/ PROTOCOLO</v>
      </c>
      <c r="B171" s="14" t="s">
        <v>34</v>
      </c>
      <c r="C171" s="14">
        <v>4600016654</v>
      </c>
      <c r="D171" s="14">
        <v>40</v>
      </c>
      <c r="E171" s="14">
        <v>4707380</v>
      </c>
      <c r="F171" s="14">
        <v>150</v>
      </c>
      <c r="H171" s="14">
        <v>5210100008</v>
      </c>
      <c r="I171" s="14" t="s">
        <v>78</v>
      </c>
      <c r="J171" s="14" t="s">
        <v>79</v>
      </c>
      <c r="K171" s="15">
        <v>44763</v>
      </c>
      <c r="L171" s="16">
        <v>5.4</v>
      </c>
      <c r="M171" s="1" t="s">
        <v>98</v>
      </c>
      <c r="N171" s="3" t="s">
        <v>134</v>
      </c>
      <c r="O171" s="1" t="s">
        <v>70</v>
      </c>
    </row>
    <row r="172" spans="1:15" ht="17.100000000000001" customHeight="1" x14ac:dyDescent="0.3">
      <c r="A172" s="3" t="str">
        <f t="shared" si="2"/>
        <v>4600014382C/ PROTOCOLO</v>
      </c>
      <c r="B172" s="14" t="s">
        <v>34</v>
      </c>
      <c r="C172" s="14">
        <v>4600014382</v>
      </c>
      <c r="D172" s="14">
        <v>40</v>
      </c>
      <c r="E172" s="14">
        <v>4001651</v>
      </c>
      <c r="F172" s="14">
        <v>1500</v>
      </c>
      <c r="H172" s="14">
        <v>5210100008</v>
      </c>
      <c r="I172" s="14" t="s">
        <v>78</v>
      </c>
      <c r="J172" s="14" t="s">
        <v>79</v>
      </c>
      <c r="K172" s="15">
        <v>44385</v>
      </c>
      <c r="L172" s="16">
        <v>6.53</v>
      </c>
      <c r="M172" s="1" t="s">
        <v>97</v>
      </c>
      <c r="N172" s="3" t="s">
        <v>124</v>
      </c>
      <c r="O172" s="1" t="s">
        <v>70</v>
      </c>
    </row>
    <row r="173" spans="1:15" ht="17.100000000000001" customHeight="1" x14ac:dyDescent="0.3">
      <c r="A173" s="3" t="str">
        <f t="shared" si="2"/>
        <v>4600014921S/ PROTOCOLO</v>
      </c>
      <c r="B173" s="14" t="s">
        <v>34</v>
      </c>
      <c r="C173" s="14">
        <v>4600014921</v>
      </c>
      <c r="D173" s="14">
        <v>40</v>
      </c>
      <c r="E173" s="14">
        <v>4005772</v>
      </c>
      <c r="F173" s="14">
        <v>2580</v>
      </c>
      <c r="H173" s="14">
        <v>5210100009</v>
      </c>
      <c r="I173" s="14" t="s">
        <v>80</v>
      </c>
      <c r="J173" s="14" t="s">
        <v>79</v>
      </c>
      <c r="K173" s="15">
        <v>44462</v>
      </c>
      <c r="L173" s="16">
        <v>2.2599999999999998</v>
      </c>
      <c r="M173" s="1" t="s">
        <v>52</v>
      </c>
      <c r="N173" s="3" t="s">
        <v>141</v>
      </c>
      <c r="O173" s="1" t="s">
        <v>69</v>
      </c>
    </row>
    <row r="174" spans="1:15" ht="17.100000000000001" customHeight="1" x14ac:dyDescent="0.3">
      <c r="A174" s="3" t="str">
        <f t="shared" si="2"/>
        <v>4600016654S/ PROTOCOLO</v>
      </c>
      <c r="B174" s="14" t="s">
        <v>34</v>
      </c>
      <c r="C174" s="14">
        <v>4600016654</v>
      </c>
      <c r="D174" s="14">
        <v>40</v>
      </c>
      <c r="E174" s="14">
        <v>4707380</v>
      </c>
      <c r="F174" s="14">
        <v>160</v>
      </c>
      <c r="H174" s="14">
        <v>5210100009</v>
      </c>
      <c r="I174" s="14" t="s">
        <v>80</v>
      </c>
      <c r="J174" s="14" t="s">
        <v>79</v>
      </c>
      <c r="K174" s="15">
        <v>44763</v>
      </c>
      <c r="L174" s="16">
        <v>5.27</v>
      </c>
      <c r="M174" s="1" t="s">
        <v>98</v>
      </c>
      <c r="N174" s="3" t="s">
        <v>134</v>
      </c>
      <c r="O174" s="1" t="s">
        <v>69</v>
      </c>
    </row>
    <row r="175" spans="1:15" ht="17.100000000000001" customHeight="1" x14ac:dyDescent="0.3">
      <c r="A175" s="3" t="str">
        <f t="shared" si="2"/>
        <v>4600014382S/ PROTOCOLO</v>
      </c>
      <c r="B175" s="14" t="s">
        <v>34</v>
      </c>
      <c r="C175" s="14">
        <v>4600014382</v>
      </c>
      <c r="D175" s="14">
        <v>40</v>
      </c>
      <c r="E175" s="14">
        <v>4001651</v>
      </c>
      <c r="F175" s="14">
        <v>140</v>
      </c>
      <c r="H175" s="14">
        <v>5210100009</v>
      </c>
      <c r="I175" s="14" t="s">
        <v>80</v>
      </c>
      <c r="J175" s="14" t="s">
        <v>79</v>
      </c>
      <c r="K175" s="15">
        <v>44385</v>
      </c>
      <c r="L175" s="16">
        <v>4.37</v>
      </c>
      <c r="M175" s="1" t="s">
        <v>97</v>
      </c>
      <c r="N175" s="3" t="s">
        <v>124</v>
      </c>
      <c r="O175" s="1" t="s">
        <v>69</v>
      </c>
    </row>
    <row r="176" spans="1:15" ht="17.100000000000001" customHeight="1" x14ac:dyDescent="0.3">
      <c r="A176" s="3" t="str">
        <f t="shared" si="2"/>
        <v>4600014720C/ PROTOCOLO</v>
      </c>
      <c r="B176" s="14" t="s">
        <v>34</v>
      </c>
      <c r="C176" s="14">
        <v>4600014720</v>
      </c>
      <c r="D176" s="14">
        <v>50</v>
      </c>
      <c r="E176" s="14">
        <v>4001596</v>
      </c>
      <c r="F176" s="14">
        <v>1750</v>
      </c>
      <c r="H176" s="14">
        <v>5210100008</v>
      </c>
      <c r="I176" s="14" t="s">
        <v>78</v>
      </c>
      <c r="J176" s="14" t="s">
        <v>79</v>
      </c>
      <c r="K176" s="15">
        <v>44435</v>
      </c>
      <c r="L176" s="16">
        <v>4.3099999999999996</v>
      </c>
      <c r="M176" s="1" t="s">
        <v>94</v>
      </c>
      <c r="N176" s="3" t="s">
        <v>127</v>
      </c>
      <c r="O176" s="1" t="s">
        <v>70</v>
      </c>
    </row>
    <row r="177" spans="1:15" ht="17.100000000000001" customHeight="1" x14ac:dyDescent="0.3">
      <c r="A177" s="3" t="str">
        <f t="shared" si="2"/>
        <v>4600014181C/ PROTOCOLO</v>
      </c>
      <c r="B177" s="14" t="s">
        <v>34</v>
      </c>
      <c r="C177" s="14">
        <v>4600014181</v>
      </c>
      <c r="D177" s="14">
        <v>50</v>
      </c>
      <c r="E177" s="14">
        <v>4001557</v>
      </c>
      <c r="F177" s="14">
        <v>1510</v>
      </c>
      <c r="H177" s="14">
        <v>5210100008</v>
      </c>
      <c r="I177" s="14" t="s">
        <v>78</v>
      </c>
      <c r="J177" s="14" t="s">
        <v>79</v>
      </c>
      <c r="K177" s="15">
        <v>44357</v>
      </c>
      <c r="L177" s="16">
        <v>6.53</v>
      </c>
      <c r="M177" s="1" t="s">
        <v>51</v>
      </c>
      <c r="N177" s="3" t="s">
        <v>144</v>
      </c>
      <c r="O177" s="1" t="s">
        <v>70</v>
      </c>
    </row>
    <row r="178" spans="1:15" ht="17.100000000000001" customHeight="1" x14ac:dyDescent="0.3">
      <c r="A178" s="3" t="str">
        <f t="shared" si="2"/>
        <v>4600014720S/ PROTOCOLO</v>
      </c>
      <c r="B178" s="14" t="s">
        <v>34</v>
      </c>
      <c r="C178" s="14">
        <v>4600014720</v>
      </c>
      <c r="D178" s="14">
        <v>50</v>
      </c>
      <c r="E178" s="14">
        <v>4001596</v>
      </c>
      <c r="F178" s="14">
        <v>2020</v>
      </c>
      <c r="H178" s="14">
        <v>5210100009</v>
      </c>
      <c r="I178" s="14" t="s">
        <v>80</v>
      </c>
      <c r="J178" s="14" t="s">
        <v>79</v>
      </c>
      <c r="K178" s="15">
        <v>44435</v>
      </c>
      <c r="L178" s="16">
        <v>3.66</v>
      </c>
      <c r="M178" s="1" t="s">
        <v>94</v>
      </c>
      <c r="N178" s="3" t="s">
        <v>127</v>
      </c>
      <c r="O178" s="1" t="s">
        <v>69</v>
      </c>
    </row>
    <row r="179" spans="1:15" ht="17.100000000000001" customHeight="1" x14ac:dyDescent="0.3">
      <c r="A179" s="3" t="str">
        <f t="shared" si="2"/>
        <v>4600014181S/ PROTOCOLO</v>
      </c>
      <c r="B179" s="14" t="s">
        <v>34</v>
      </c>
      <c r="C179" s="14">
        <v>4600014181</v>
      </c>
      <c r="D179" s="14">
        <v>50</v>
      </c>
      <c r="E179" s="14">
        <v>4001557</v>
      </c>
      <c r="F179" s="14">
        <v>140</v>
      </c>
      <c r="H179" s="14">
        <v>5210100009</v>
      </c>
      <c r="I179" s="14" t="s">
        <v>80</v>
      </c>
      <c r="J179" s="14" t="s">
        <v>79</v>
      </c>
      <c r="K179" s="15">
        <v>44357</v>
      </c>
      <c r="L179" s="16">
        <v>4.37</v>
      </c>
      <c r="M179" s="1" t="s">
        <v>51</v>
      </c>
      <c r="N179" s="3" t="s">
        <v>144</v>
      </c>
      <c r="O179" s="1" t="s">
        <v>69</v>
      </c>
    </row>
    <row r="180" spans="1:15" ht="17.100000000000001" customHeight="1" x14ac:dyDescent="0.3">
      <c r="A180" s="3" t="str">
        <f t="shared" si="2"/>
        <v>4600015199C/ PROTOCOLO</v>
      </c>
      <c r="B180" s="14" t="s">
        <v>34</v>
      </c>
      <c r="C180" s="14">
        <v>4600015199</v>
      </c>
      <c r="D180" s="14">
        <v>60</v>
      </c>
      <c r="E180" s="14">
        <v>4001596</v>
      </c>
      <c r="F180" s="14">
        <v>1760</v>
      </c>
      <c r="H180" s="14">
        <v>5210100008</v>
      </c>
      <c r="I180" s="14" t="s">
        <v>78</v>
      </c>
      <c r="J180" s="14" t="s">
        <v>79</v>
      </c>
      <c r="K180" s="15">
        <v>44488</v>
      </c>
      <c r="L180" s="16">
        <v>3.99</v>
      </c>
      <c r="M180" s="1" t="s">
        <v>94</v>
      </c>
      <c r="N180" s="3" t="s">
        <v>127</v>
      </c>
      <c r="O180" s="1" t="s">
        <v>70</v>
      </c>
    </row>
    <row r="181" spans="1:15" ht="17.100000000000001" customHeight="1" x14ac:dyDescent="0.3">
      <c r="A181" s="3" t="str">
        <f t="shared" si="2"/>
        <v>4600014921C/ PROTOCOLO</v>
      </c>
      <c r="B181" s="14" t="s">
        <v>34</v>
      </c>
      <c r="C181" s="14">
        <v>4600014921</v>
      </c>
      <c r="D181" s="14">
        <v>60</v>
      </c>
      <c r="E181" s="14">
        <v>4005772</v>
      </c>
      <c r="F181" s="14">
        <v>1500</v>
      </c>
      <c r="H181" s="14">
        <v>5210100008</v>
      </c>
      <c r="I181" s="14" t="s">
        <v>78</v>
      </c>
      <c r="J181" s="14" t="s">
        <v>79</v>
      </c>
      <c r="K181" s="15">
        <v>44462</v>
      </c>
      <c r="L181" s="16">
        <v>6.53</v>
      </c>
      <c r="M181" s="1" t="s">
        <v>52</v>
      </c>
      <c r="N181" s="3" t="s">
        <v>141</v>
      </c>
      <c r="O181" s="1" t="s">
        <v>70</v>
      </c>
    </row>
    <row r="182" spans="1:15" ht="17.100000000000001" customHeight="1" x14ac:dyDescent="0.3">
      <c r="A182" s="3" t="str">
        <f t="shared" si="2"/>
        <v>4600015199S/ PROTOCOLO</v>
      </c>
      <c r="B182" s="14" t="s">
        <v>34</v>
      </c>
      <c r="C182" s="14">
        <v>4600015199</v>
      </c>
      <c r="D182" s="14">
        <v>60</v>
      </c>
      <c r="E182" s="14">
        <v>4001596</v>
      </c>
      <c r="F182" s="14">
        <v>2100</v>
      </c>
      <c r="H182" s="14">
        <v>5210100009</v>
      </c>
      <c r="I182" s="14" t="s">
        <v>80</v>
      </c>
      <c r="J182" s="14" t="s">
        <v>79</v>
      </c>
      <c r="K182" s="15">
        <v>44488</v>
      </c>
      <c r="L182" s="16">
        <v>3.03</v>
      </c>
      <c r="M182" s="1" t="s">
        <v>94</v>
      </c>
      <c r="N182" s="3" t="s">
        <v>127</v>
      </c>
      <c r="O182" s="1" t="s">
        <v>69</v>
      </c>
    </row>
    <row r="183" spans="1:15" ht="17.100000000000001" customHeight="1" x14ac:dyDescent="0.3">
      <c r="A183" s="3" t="str">
        <f t="shared" si="2"/>
        <v>4600014921S/ PROTOCOLO</v>
      </c>
      <c r="B183" s="14" t="s">
        <v>34</v>
      </c>
      <c r="C183" s="14">
        <v>4600014921</v>
      </c>
      <c r="D183" s="14">
        <v>60</v>
      </c>
      <c r="E183" s="14">
        <v>4005772</v>
      </c>
      <c r="F183" s="14">
        <v>140</v>
      </c>
      <c r="H183" s="14">
        <v>5210100009</v>
      </c>
      <c r="I183" s="14" t="s">
        <v>80</v>
      </c>
      <c r="J183" s="14" t="s">
        <v>79</v>
      </c>
      <c r="K183" s="15">
        <v>44462</v>
      </c>
      <c r="L183" s="16">
        <v>4.37</v>
      </c>
      <c r="M183" s="1" t="s">
        <v>52</v>
      </c>
      <c r="N183" s="3" t="s">
        <v>141</v>
      </c>
      <c r="O183" s="1" t="s">
        <v>69</v>
      </c>
    </row>
    <row r="184" spans="1:15" ht="17.100000000000001" customHeight="1" x14ac:dyDescent="0.3">
      <c r="A184" s="3" t="str">
        <f t="shared" si="2"/>
        <v>4600015199C/ PROTOCOLO</v>
      </c>
      <c r="B184" s="14" t="s">
        <v>34</v>
      </c>
      <c r="C184" s="14">
        <v>4600015199</v>
      </c>
      <c r="D184" s="14">
        <v>80</v>
      </c>
      <c r="E184" s="14">
        <v>4001596</v>
      </c>
      <c r="F184" s="14">
        <v>1750</v>
      </c>
      <c r="H184" s="14">
        <v>5210100008</v>
      </c>
      <c r="I184" s="14" t="s">
        <v>78</v>
      </c>
      <c r="J184" s="14" t="s">
        <v>79</v>
      </c>
      <c r="K184" s="15">
        <v>44488</v>
      </c>
      <c r="L184" s="16">
        <v>4.1500000000000004</v>
      </c>
      <c r="M184" s="1" t="s">
        <v>94</v>
      </c>
      <c r="N184" s="3" t="s">
        <v>127</v>
      </c>
      <c r="O184" s="1" t="s">
        <v>70</v>
      </c>
    </row>
    <row r="185" spans="1:15" ht="17.100000000000001" customHeight="1" x14ac:dyDescent="0.3">
      <c r="A185" s="3" t="str">
        <f t="shared" si="2"/>
        <v>4600015199S/ PROTOCOLO</v>
      </c>
      <c r="B185" s="14" t="s">
        <v>34</v>
      </c>
      <c r="C185" s="14">
        <v>4600015199</v>
      </c>
      <c r="D185" s="14">
        <v>80</v>
      </c>
      <c r="E185" s="14">
        <v>4001596</v>
      </c>
      <c r="F185" s="14">
        <v>2090</v>
      </c>
      <c r="H185" s="14">
        <v>5210100009</v>
      </c>
      <c r="I185" s="14" t="s">
        <v>80</v>
      </c>
      <c r="J185" s="14" t="s">
        <v>79</v>
      </c>
      <c r="K185" s="15">
        <v>44488</v>
      </c>
      <c r="L185" s="16">
        <v>3.15</v>
      </c>
      <c r="M185" s="1" t="s">
        <v>94</v>
      </c>
      <c r="N185" s="3" t="s">
        <v>127</v>
      </c>
      <c r="O185" s="1" t="s">
        <v>69</v>
      </c>
    </row>
    <row r="186" spans="1:15" ht="17.100000000000001" customHeight="1" x14ac:dyDescent="0.3">
      <c r="A186" s="3" t="str">
        <f t="shared" si="2"/>
        <v>4600023464S/ PROTOCOLO</v>
      </c>
      <c r="B186" s="14" t="s">
        <v>34</v>
      </c>
      <c r="C186" s="14">
        <v>4600023464</v>
      </c>
      <c r="D186" s="14">
        <v>110</v>
      </c>
      <c r="E186" s="14">
        <v>4708063</v>
      </c>
      <c r="F186" s="14">
        <v>2740</v>
      </c>
      <c r="H186" s="14">
        <v>5024000070</v>
      </c>
      <c r="I186" s="14" t="s">
        <v>75</v>
      </c>
      <c r="J186" s="14" t="s">
        <v>76</v>
      </c>
      <c r="K186" s="15">
        <v>45622</v>
      </c>
      <c r="L186" s="16">
        <v>3.41</v>
      </c>
      <c r="M186" s="1" t="s">
        <v>58</v>
      </c>
      <c r="N186" s="3" t="s">
        <v>59</v>
      </c>
      <c r="O186" s="1" t="s">
        <v>69</v>
      </c>
    </row>
    <row r="187" spans="1:15" ht="17.100000000000001" customHeight="1" x14ac:dyDescent="0.3">
      <c r="A187" s="3" t="str">
        <f t="shared" si="2"/>
        <v>4600023464C/ PROTOCOLO</v>
      </c>
      <c r="B187" s="14" t="s">
        <v>34</v>
      </c>
      <c r="C187" s="14">
        <v>4600023464</v>
      </c>
      <c r="D187" s="14">
        <v>110</v>
      </c>
      <c r="E187" s="14">
        <v>4708063</v>
      </c>
      <c r="F187" s="14">
        <v>2750</v>
      </c>
      <c r="H187" s="14">
        <v>5024000071</v>
      </c>
      <c r="I187" s="14" t="s">
        <v>77</v>
      </c>
      <c r="J187" s="14" t="s">
        <v>76</v>
      </c>
      <c r="K187" s="15">
        <v>45622</v>
      </c>
      <c r="L187" s="16">
        <v>3.99</v>
      </c>
      <c r="M187" s="1" t="s">
        <v>58</v>
      </c>
      <c r="N187" s="3" t="s">
        <v>59</v>
      </c>
      <c r="O187" s="1" t="s">
        <v>70</v>
      </c>
    </row>
    <row r="188" spans="1:15" ht="17.100000000000001" customHeight="1" x14ac:dyDescent="0.3">
      <c r="A188" s="3" t="str">
        <f t="shared" si="2"/>
        <v>4600011238C/ PROTOCOLO</v>
      </c>
      <c r="B188" s="14" t="s">
        <v>34</v>
      </c>
      <c r="C188" s="14">
        <v>4600011238</v>
      </c>
      <c r="D188" s="14">
        <v>110</v>
      </c>
      <c r="E188" s="14">
        <v>4701976</v>
      </c>
      <c r="F188" s="14">
        <v>1320</v>
      </c>
      <c r="H188" s="14">
        <v>5210100008</v>
      </c>
      <c r="I188" s="14" t="s">
        <v>78</v>
      </c>
      <c r="J188" s="14" t="s">
        <v>79</v>
      </c>
      <c r="K188" s="15">
        <v>43774</v>
      </c>
      <c r="L188" s="16">
        <v>12.67</v>
      </c>
      <c r="M188" s="1" t="s">
        <v>50</v>
      </c>
      <c r="N188" s="1" t="s">
        <v>42</v>
      </c>
      <c r="O188" s="1" t="s">
        <v>70</v>
      </c>
    </row>
    <row r="189" spans="1:15" ht="17.100000000000001" customHeight="1" x14ac:dyDescent="0.3">
      <c r="A189" s="3" t="str">
        <f t="shared" si="2"/>
        <v>4600011246C/ PROTOCOLO</v>
      </c>
      <c r="B189" s="14" t="s">
        <v>34</v>
      </c>
      <c r="C189" s="14">
        <v>4600011246</v>
      </c>
      <c r="D189" s="14">
        <v>110</v>
      </c>
      <c r="E189" s="14">
        <v>4002178</v>
      </c>
      <c r="F189" s="14">
        <v>1330</v>
      </c>
      <c r="H189" s="14">
        <v>5210100008</v>
      </c>
      <c r="I189" s="14" t="s">
        <v>78</v>
      </c>
      <c r="J189" s="14" t="s">
        <v>79</v>
      </c>
      <c r="K189" s="15">
        <v>43774</v>
      </c>
      <c r="L189" s="16">
        <v>12.18</v>
      </c>
      <c r="M189" s="1" t="s">
        <v>48</v>
      </c>
      <c r="N189" s="3" t="s">
        <v>40</v>
      </c>
      <c r="O189" s="1" t="s">
        <v>70</v>
      </c>
    </row>
    <row r="190" spans="1:15" ht="17.100000000000001" customHeight="1" x14ac:dyDescent="0.3">
      <c r="A190" s="3" t="str">
        <f t="shared" si="2"/>
        <v>4600011219C/ PROTOCOLO</v>
      </c>
      <c r="B190" s="14" t="s">
        <v>34</v>
      </c>
      <c r="C190" s="14">
        <v>4600011219</v>
      </c>
      <c r="D190" s="14">
        <v>110</v>
      </c>
      <c r="E190" s="14">
        <v>4002178</v>
      </c>
      <c r="F190" s="14">
        <v>1330</v>
      </c>
      <c r="H190" s="14">
        <v>5210100008</v>
      </c>
      <c r="I190" s="14" t="s">
        <v>78</v>
      </c>
      <c r="J190" s="14" t="s">
        <v>79</v>
      </c>
      <c r="K190" s="15">
        <v>43773</v>
      </c>
      <c r="L190" s="16">
        <v>11.87</v>
      </c>
      <c r="M190" s="1" t="s">
        <v>48</v>
      </c>
      <c r="N190" s="3" t="s">
        <v>40</v>
      </c>
      <c r="O190" s="1" t="s">
        <v>70</v>
      </c>
    </row>
    <row r="191" spans="1:15" ht="17.100000000000001" customHeight="1" x14ac:dyDescent="0.3">
      <c r="A191" s="3" t="str">
        <f t="shared" si="2"/>
        <v>4600019674C/ PROTOCOLO</v>
      </c>
      <c r="B191" s="14" t="s">
        <v>34</v>
      </c>
      <c r="C191" s="14">
        <v>4600019674</v>
      </c>
      <c r="D191" s="14">
        <v>120</v>
      </c>
      <c r="E191" s="14">
        <v>3001425</v>
      </c>
      <c r="F191" s="14">
        <v>1320</v>
      </c>
      <c r="H191" s="14">
        <v>5210100008</v>
      </c>
      <c r="I191" s="14" t="s">
        <v>78</v>
      </c>
      <c r="J191" s="14" t="s">
        <v>79</v>
      </c>
      <c r="K191" s="15">
        <v>45187</v>
      </c>
      <c r="L191" s="16">
        <v>9.76</v>
      </c>
      <c r="M191" s="1" t="s">
        <v>57</v>
      </c>
      <c r="N191" s="3" t="s">
        <v>44</v>
      </c>
      <c r="O191" s="1" t="s">
        <v>70</v>
      </c>
    </row>
    <row r="192" spans="1:15" ht="17.100000000000001" customHeight="1" x14ac:dyDescent="0.3">
      <c r="A192" s="3" t="str">
        <f t="shared" si="2"/>
        <v>4600025058S/ PROTOCOLO</v>
      </c>
      <c r="B192" s="14" t="s">
        <v>34</v>
      </c>
      <c r="C192" s="14">
        <v>4600025058</v>
      </c>
      <c r="D192" s="14">
        <v>130</v>
      </c>
      <c r="E192" s="14">
        <v>4008983</v>
      </c>
      <c r="F192" s="14">
        <v>2760</v>
      </c>
      <c r="H192" s="14">
        <v>5024000070</v>
      </c>
      <c r="I192" s="14" t="s">
        <v>75</v>
      </c>
      <c r="J192" s="14" t="s">
        <v>76</v>
      </c>
      <c r="K192" s="15">
        <v>45680</v>
      </c>
      <c r="L192" s="16">
        <v>4.25</v>
      </c>
      <c r="M192" s="1" t="s">
        <v>48</v>
      </c>
      <c r="N192" s="3" t="s">
        <v>40</v>
      </c>
      <c r="O192" s="1" t="s">
        <v>69</v>
      </c>
    </row>
    <row r="193" spans="1:15" ht="17.100000000000001" customHeight="1" x14ac:dyDescent="0.3">
      <c r="A193" s="3" t="str">
        <f t="shared" si="2"/>
        <v>4600025058C/ PROTOCOLO</v>
      </c>
      <c r="B193" s="14" t="s">
        <v>34</v>
      </c>
      <c r="C193" s="14">
        <v>4600025058</v>
      </c>
      <c r="D193" s="14">
        <v>130</v>
      </c>
      <c r="E193" s="14">
        <v>4008983</v>
      </c>
      <c r="F193" s="14">
        <v>2770</v>
      </c>
      <c r="H193" s="14">
        <v>5024000071</v>
      </c>
      <c r="I193" s="14" t="s">
        <v>77</v>
      </c>
      <c r="J193" s="14" t="s">
        <v>76</v>
      </c>
      <c r="K193" s="15">
        <v>45680</v>
      </c>
      <c r="L193" s="16">
        <v>4.97</v>
      </c>
      <c r="M193" s="1" t="s">
        <v>48</v>
      </c>
      <c r="N193" s="3" t="s">
        <v>40</v>
      </c>
      <c r="O193" s="1" t="s">
        <v>70</v>
      </c>
    </row>
    <row r="194" spans="1:15" ht="17.100000000000001" customHeight="1" x14ac:dyDescent="0.3">
      <c r="A194" s="3" t="str">
        <f t="shared" si="2"/>
        <v>4600026165S/ PROTOCOLO</v>
      </c>
      <c r="B194" s="14" t="s">
        <v>34</v>
      </c>
      <c r="C194" s="14">
        <v>4600026165</v>
      </c>
      <c r="D194" s="14">
        <v>140</v>
      </c>
      <c r="E194" s="14">
        <v>4706893</v>
      </c>
      <c r="F194" s="14">
        <v>2730</v>
      </c>
      <c r="H194" s="14">
        <v>5024000070</v>
      </c>
      <c r="I194" s="14" t="s">
        <v>75</v>
      </c>
      <c r="J194" s="14" t="s">
        <v>76</v>
      </c>
      <c r="K194" s="15">
        <v>45789</v>
      </c>
      <c r="L194" s="16">
        <v>2.19</v>
      </c>
      <c r="M194" s="1" t="s">
        <v>53</v>
      </c>
      <c r="N194" s="3" t="s">
        <v>45</v>
      </c>
      <c r="O194" s="1" t="s">
        <v>69</v>
      </c>
    </row>
    <row r="195" spans="1:15" ht="17.100000000000001" customHeight="1" x14ac:dyDescent="0.3">
      <c r="A195" s="3" t="str">
        <f t="shared" ref="A195:A258" si="3">C195&amp;O195</f>
        <v>4600026165S/ PROTOCOLO</v>
      </c>
      <c r="B195" s="14" t="s">
        <v>34</v>
      </c>
      <c r="C195" s="14">
        <v>4600026165</v>
      </c>
      <c r="D195" s="14">
        <v>140</v>
      </c>
      <c r="E195" s="14">
        <v>4706893</v>
      </c>
      <c r="F195" s="14">
        <v>5620</v>
      </c>
      <c r="H195" s="14">
        <v>5024000070</v>
      </c>
      <c r="I195" s="14" t="s">
        <v>75</v>
      </c>
      <c r="J195" s="14" t="s">
        <v>76</v>
      </c>
      <c r="K195" s="15">
        <v>45789</v>
      </c>
      <c r="L195" s="16">
        <v>2.19</v>
      </c>
      <c r="M195" s="1" t="s">
        <v>53</v>
      </c>
      <c r="N195" s="3" t="s">
        <v>45</v>
      </c>
      <c r="O195" s="1" t="s">
        <v>69</v>
      </c>
    </row>
    <row r="196" spans="1:15" ht="17.100000000000001" customHeight="1" x14ac:dyDescent="0.3">
      <c r="A196" s="3" t="str">
        <f t="shared" si="3"/>
        <v>4600026186S/ PROTOCOLO</v>
      </c>
      <c r="B196" s="14" t="s">
        <v>34</v>
      </c>
      <c r="C196" s="14">
        <v>4600026186</v>
      </c>
      <c r="D196" s="14">
        <v>140</v>
      </c>
      <c r="E196" s="14">
        <v>4006856</v>
      </c>
      <c r="F196" s="14">
        <v>2720</v>
      </c>
      <c r="H196" s="14">
        <v>5024000070</v>
      </c>
      <c r="I196" s="14" t="s">
        <v>75</v>
      </c>
      <c r="J196" s="14" t="s">
        <v>76</v>
      </c>
      <c r="K196" s="15">
        <v>45790</v>
      </c>
      <c r="L196" s="16">
        <v>2.2799999999999998</v>
      </c>
      <c r="M196" s="1" t="s">
        <v>62</v>
      </c>
      <c r="N196" s="3" t="s">
        <v>63</v>
      </c>
      <c r="O196" s="1" t="s">
        <v>69</v>
      </c>
    </row>
    <row r="197" spans="1:15" ht="17.100000000000001" customHeight="1" x14ac:dyDescent="0.3">
      <c r="A197" s="3" t="str">
        <f t="shared" si="3"/>
        <v>4600026186S/ PROTOCOLO</v>
      </c>
      <c r="B197" s="14" t="s">
        <v>34</v>
      </c>
      <c r="C197" s="14">
        <v>4600026186</v>
      </c>
      <c r="D197" s="14">
        <v>140</v>
      </c>
      <c r="E197" s="14">
        <v>4006856</v>
      </c>
      <c r="F197" s="14">
        <v>5570</v>
      </c>
      <c r="H197" s="14">
        <v>5024000070</v>
      </c>
      <c r="I197" s="14" t="s">
        <v>75</v>
      </c>
      <c r="J197" s="14" t="s">
        <v>76</v>
      </c>
      <c r="K197" s="15">
        <v>45790</v>
      </c>
      <c r="L197" s="16">
        <v>2.2799999999999998</v>
      </c>
      <c r="M197" s="1" t="s">
        <v>62</v>
      </c>
      <c r="N197" s="3" t="s">
        <v>63</v>
      </c>
      <c r="O197" s="1" t="s">
        <v>69</v>
      </c>
    </row>
    <row r="198" spans="1:15" ht="17.100000000000001" customHeight="1" x14ac:dyDescent="0.3">
      <c r="A198" s="3" t="str">
        <f t="shared" si="3"/>
        <v>4600026165C/ PROTOCOLO</v>
      </c>
      <c r="B198" s="14" t="s">
        <v>34</v>
      </c>
      <c r="C198" s="14">
        <v>4600026165</v>
      </c>
      <c r="D198" s="14">
        <v>140</v>
      </c>
      <c r="E198" s="14">
        <v>4706893</v>
      </c>
      <c r="F198" s="14">
        <v>2740</v>
      </c>
      <c r="H198" s="14">
        <v>5024000071</v>
      </c>
      <c r="I198" s="14" t="s">
        <v>77</v>
      </c>
      <c r="J198" s="14" t="s">
        <v>76</v>
      </c>
      <c r="K198" s="15">
        <v>45789</v>
      </c>
      <c r="L198" s="16">
        <v>2.56</v>
      </c>
      <c r="M198" s="1" t="s">
        <v>53</v>
      </c>
      <c r="N198" s="3" t="s">
        <v>45</v>
      </c>
      <c r="O198" s="1" t="s">
        <v>70</v>
      </c>
    </row>
    <row r="199" spans="1:15" ht="17.100000000000001" customHeight="1" x14ac:dyDescent="0.3">
      <c r="A199" s="3" t="str">
        <f t="shared" si="3"/>
        <v>4600026165C/ PROTOCOLO</v>
      </c>
      <c r="B199" s="14" t="s">
        <v>34</v>
      </c>
      <c r="C199" s="14">
        <v>4600026165</v>
      </c>
      <c r="D199" s="14">
        <v>140</v>
      </c>
      <c r="E199" s="14">
        <v>4706893</v>
      </c>
      <c r="F199" s="14">
        <v>5630</v>
      </c>
      <c r="H199" s="14">
        <v>5024000071</v>
      </c>
      <c r="I199" s="14" t="s">
        <v>77</v>
      </c>
      <c r="J199" s="14" t="s">
        <v>76</v>
      </c>
      <c r="K199" s="15">
        <v>45789</v>
      </c>
      <c r="L199" s="16">
        <v>2.56</v>
      </c>
      <c r="M199" s="1" t="s">
        <v>53</v>
      </c>
      <c r="N199" s="3" t="s">
        <v>45</v>
      </c>
      <c r="O199" s="1" t="s">
        <v>70</v>
      </c>
    </row>
    <row r="200" spans="1:15" ht="17.100000000000001" customHeight="1" x14ac:dyDescent="0.3">
      <c r="A200" s="3" t="str">
        <f t="shared" si="3"/>
        <v>4600026186C/ PROTOCOLO</v>
      </c>
      <c r="B200" s="14" t="s">
        <v>34</v>
      </c>
      <c r="C200" s="14">
        <v>4600026186</v>
      </c>
      <c r="D200" s="14">
        <v>140</v>
      </c>
      <c r="E200" s="14">
        <v>4006856</v>
      </c>
      <c r="F200" s="14">
        <v>2730</v>
      </c>
      <c r="H200" s="14">
        <v>5024000071</v>
      </c>
      <c r="I200" s="14" t="s">
        <v>77</v>
      </c>
      <c r="J200" s="14" t="s">
        <v>76</v>
      </c>
      <c r="K200" s="15">
        <v>45790</v>
      </c>
      <c r="L200" s="16">
        <v>2.67</v>
      </c>
      <c r="M200" s="1" t="s">
        <v>62</v>
      </c>
      <c r="N200" s="3" t="s">
        <v>63</v>
      </c>
      <c r="O200" s="1" t="s">
        <v>70</v>
      </c>
    </row>
    <row r="201" spans="1:15" ht="17.100000000000001" customHeight="1" x14ac:dyDescent="0.3">
      <c r="A201" s="3" t="str">
        <f t="shared" si="3"/>
        <v>4600026186C/ PROTOCOLO</v>
      </c>
      <c r="B201" s="14" t="s">
        <v>34</v>
      </c>
      <c r="C201" s="14">
        <v>4600026186</v>
      </c>
      <c r="D201" s="14">
        <v>140</v>
      </c>
      <c r="E201" s="14">
        <v>4006856</v>
      </c>
      <c r="F201" s="14">
        <v>5580</v>
      </c>
      <c r="H201" s="14">
        <v>5024000071</v>
      </c>
      <c r="I201" s="14" t="s">
        <v>77</v>
      </c>
      <c r="J201" s="14" t="s">
        <v>76</v>
      </c>
      <c r="K201" s="15">
        <v>45790</v>
      </c>
      <c r="L201" s="16">
        <v>2.67</v>
      </c>
      <c r="M201" s="1" t="s">
        <v>62</v>
      </c>
      <c r="N201" s="3" t="s">
        <v>63</v>
      </c>
      <c r="O201" s="1" t="s">
        <v>70</v>
      </c>
    </row>
    <row r="202" spans="1:15" ht="17.100000000000001" customHeight="1" x14ac:dyDescent="0.3">
      <c r="A202" s="3" t="str">
        <f t="shared" si="3"/>
        <v>4600006180C/ PROTOCOLO</v>
      </c>
      <c r="B202" s="14" t="s">
        <v>34</v>
      </c>
      <c r="C202" s="14">
        <v>4600006180</v>
      </c>
      <c r="D202" s="14">
        <v>600</v>
      </c>
      <c r="E202" s="14">
        <v>4002535</v>
      </c>
      <c r="F202" s="14">
        <v>10</v>
      </c>
      <c r="H202" s="14">
        <v>5024000071</v>
      </c>
      <c r="I202" s="14" t="s">
        <v>77</v>
      </c>
      <c r="J202" s="14" t="s">
        <v>76</v>
      </c>
      <c r="K202" s="15">
        <v>42480</v>
      </c>
      <c r="L202" s="16">
        <v>58.03</v>
      </c>
      <c r="M202" s="1" t="s">
        <v>86</v>
      </c>
      <c r="N202" s="3" t="s">
        <v>129</v>
      </c>
      <c r="O202" s="1" t="s">
        <v>70</v>
      </c>
    </row>
    <row r="203" spans="1:15" ht="17.100000000000001" customHeight="1" x14ac:dyDescent="0.3">
      <c r="A203" s="3" t="str">
        <f t="shared" si="3"/>
        <v>4600006180C/ PROTOCOLO</v>
      </c>
      <c r="B203" s="14" t="s">
        <v>34</v>
      </c>
      <c r="C203" s="14">
        <v>4600006180</v>
      </c>
      <c r="D203" s="14">
        <v>610</v>
      </c>
      <c r="E203" s="14">
        <v>4002535</v>
      </c>
      <c r="F203" s="14">
        <v>90</v>
      </c>
      <c r="H203" s="14">
        <v>5024000071</v>
      </c>
      <c r="I203" s="14" t="s">
        <v>77</v>
      </c>
      <c r="J203" s="14" t="s">
        <v>76</v>
      </c>
      <c r="K203" s="15">
        <v>42480</v>
      </c>
      <c r="L203" s="16">
        <v>58.03</v>
      </c>
      <c r="M203" s="1" t="s">
        <v>86</v>
      </c>
      <c r="N203" s="3" t="s">
        <v>129</v>
      </c>
      <c r="O203" s="1" t="s">
        <v>70</v>
      </c>
    </row>
    <row r="204" spans="1:15" ht="17.100000000000001" customHeight="1" x14ac:dyDescent="0.3">
      <c r="A204" s="3" t="str">
        <f t="shared" si="3"/>
        <v>4600006180C/ PROTOCOLO</v>
      </c>
      <c r="B204" s="14" t="s">
        <v>34</v>
      </c>
      <c r="C204" s="14">
        <v>4600006180</v>
      </c>
      <c r="D204" s="14">
        <v>670</v>
      </c>
      <c r="E204" s="14">
        <v>4002535</v>
      </c>
      <c r="F204" s="14">
        <v>20</v>
      </c>
      <c r="H204" s="14">
        <v>5024000071</v>
      </c>
      <c r="I204" s="14" t="s">
        <v>77</v>
      </c>
      <c r="J204" s="14" t="s">
        <v>76</v>
      </c>
      <c r="K204" s="15">
        <v>42480</v>
      </c>
      <c r="L204" s="16">
        <v>58.03</v>
      </c>
      <c r="M204" s="1" t="s">
        <v>86</v>
      </c>
      <c r="N204" s="3" t="s">
        <v>129</v>
      </c>
      <c r="O204" s="1" t="s">
        <v>70</v>
      </c>
    </row>
    <row r="205" spans="1:15" ht="17.100000000000001" customHeight="1" x14ac:dyDescent="0.3">
      <c r="A205" s="3" t="str">
        <f t="shared" si="3"/>
        <v>4600024705S/ PROTOCOLO</v>
      </c>
      <c r="B205" s="14" t="s">
        <v>31</v>
      </c>
      <c r="C205" s="14">
        <v>4600024705</v>
      </c>
      <c r="D205" s="14">
        <v>10</v>
      </c>
      <c r="E205" s="14">
        <v>4704871</v>
      </c>
      <c r="F205" s="14">
        <v>2640</v>
      </c>
      <c r="H205" s="14">
        <v>5024000070</v>
      </c>
      <c r="I205" s="14" t="s">
        <v>75</v>
      </c>
      <c r="J205" s="14" t="s">
        <v>76</v>
      </c>
      <c r="K205" s="15">
        <v>45664</v>
      </c>
      <c r="L205" s="16">
        <v>21.16</v>
      </c>
      <c r="M205" s="1" t="s">
        <v>100</v>
      </c>
      <c r="N205" s="3" t="s">
        <v>122</v>
      </c>
      <c r="O205" s="1" t="s">
        <v>69</v>
      </c>
    </row>
    <row r="206" spans="1:15" ht="17.100000000000001" customHeight="1" x14ac:dyDescent="0.3">
      <c r="A206" s="3" t="str">
        <f t="shared" si="3"/>
        <v>4600024705C/ PROTOCOLO</v>
      </c>
      <c r="B206" s="14" t="s">
        <v>31</v>
      </c>
      <c r="C206" s="14">
        <v>4600024705</v>
      </c>
      <c r="D206" s="14">
        <v>10</v>
      </c>
      <c r="E206" s="14">
        <v>4704871</v>
      </c>
      <c r="F206" s="14">
        <v>2620</v>
      </c>
      <c r="H206" s="14">
        <v>5024000071</v>
      </c>
      <c r="I206" s="14" t="s">
        <v>77</v>
      </c>
      <c r="J206" s="14" t="s">
        <v>76</v>
      </c>
      <c r="K206" s="15">
        <v>45664</v>
      </c>
      <c r="L206" s="16">
        <v>24.76</v>
      </c>
      <c r="M206" s="1" t="s">
        <v>100</v>
      </c>
      <c r="N206" s="3" t="s">
        <v>122</v>
      </c>
      <c r="O206" s="1" t="s">
        <v>70</v>
      </c>
    </row>
    <row r="207" spans="1:15" ht="17.100000000000001" customHeight="1" x14ac:dyDescent="0.3">
      <c r="A207" s="3" t="str">
        <f t="shared" si="3"/>
        <v>4600010343C/ PROTOCOLO</v>
      </c>
      <c r="B207" s="14" t="s">
        <v>31</v>
      </c>
      <c r="C207" s="14">
        <v>4600010343</v>
      </c>
      <c r="D207" s="14">
        <v>10</v>
      </c>
      <c r="E207" s="14">
        <v>4004745</v>
      </c>
      <c r="F207" s="14">
        <v>1340</v>
      </c>
      <c r="H207" s="14">
        <v>5210100008</v>
      </c>
      <c r="I207" s="14" t="s">
        <v>78</v>
      </c>
      <c r="J207" s="14" t="s">
        <v>79</v>
      </c>
      <c r="K207" s="15">
        <v>43691</v>
      </c>
      <c r="L207" s="16">
        <v>6.02</v>
      </c>
      <c r="M207" s="1" t="s">
        <v>46</v>
      </c>
      <c r="N207" s="1" t="s">
        <v>39</v>
      </c>
      <c r="O207" s="1" t="s">
        <v>70</v>
      </c>
    </row>
    <row r="208" spans="1:15" ht="17.100000000000001" customHeight="1" x14ac:dyDescent="0.3">
      <c r="A208" s="3" t="str">
        <f t="shared" si="3"/>
        <v>4600014244C/ PROTOCOLO</v>
      </c>
      <c r="B208" s="14" t="s">
        <v>31</v>
      </c>
      <c r="C208" s="14">
        <v>4600014244</v>
      </c>
      <c r="D208" s="14">
        <v>10</v>
      </c>
      <c r="E208" s="14">
        <v>4701447</v>
      </c>
      <c r="F208" s="14">
        <v>6460</v>
      </c>
      <c r="H208" s="14">
        <v>5210100008</v>
      </c>
      <c r="I208" s="14" t="s">
        <v>78</v>
      </c>
      <c r="J208" s="14" t="s">
        <v>79</v>
      </c>
      <c r="K208" s="15">
        <v>44365</v>
      </c>
      <c r="L208" s="16">
        <v>4.8499999999999996</v>
      </c>
      <c r="M208" s="1" t="s">
        <v>48</v>
      </c>
      <c r="N208" s="3" t="s">
        <v>40</v>
      </c>
      <c r="O208" s="1" t="s">
        <v>70</v>
      </c>
    </row>
    <row r="209" spans="1:15" ht="17.100000000000001" customHeight="1" x14ac:dyDescent="0.3">
      <c r="A209" s="3" t="str">
        <f t="shared" si="3"/>
        <v>4600023008C/ PROTOCOLO</v>
      </c>
      <c r="B209" s="14" t="s">
        <v>31</v>
      </c>
      <c r="C209" s="14">
        <v>4600023008</v>
      </c>
      <c r="D209" s="14">
        <v>10</v>
      </c>
      <c r="E209" s="14">
        <v>4004745</v>
      </c>
      <c r="F209" s="14">
        <v>1340</v>
      </c>
      <c r="H209" s="14">
        <v>5210100008</v>
      </c>
      <c r="I209" s="14" t="s">
        <v>78</v>
      </c>
      <c r="J209" s="14" t="s">
        <v>79</v>
      </c>
      <c r="K209" s="15">
        <v>45572</v>
      </c>
      <c r="L209" s="16">
        <v>6.02</v>
      </c>
      <c r="M209" s="1" t="s">
        <v>46</v>
      </c>
      <c r="N209" s="1" t="s">
        <v>39</v>
      </c>
      <c r="O209" s="1" t="s">
        <v>70</v>
      </c>
    </row>
    <row r="210" spans="1:15" ht="17.100000000000001" customHeight="1" x14ac:dyDescent="0.3">
      <c r="A210" s="3" t="str">
        <f t="shared" si="3"/>
        <v>4600024705S/ PROTOCOLO</v>
      </c>
      <c r="B210" s="14" t="s">
        <v>31</v>
      </c>
      <c r="C210" s="14">
        <v>4600024705</v>
      </c>
      <c r="D210" s="14">
        <v>20</v>
      </c>
      <c r="E210" s="14">
        <v>4704871</v>
      </c>
      <c r="F210" s="14">
        <v>2640</v>
      </c>
      <c r="H210" s="14">
        <v>5024000070</v>
      </c>
      <c r="I210" s="14" t="s">
        <v>75</v>
      </c>
      <c r="J210" s="14" t="s">
        <v>76</v>
      </c>
      <c r="K210" s="15">
        <v>45664</v>
      </c>
      <c r="L210" s="16">
        <v>21.16</v>
      </c>
      <c r="M210" s="1" t="s">
        <v>100</v>
      </c>
      <c r="N210" s="3" t="s">
        <v>122</v>
      </c>
      <c r="O210" s="1" t="s">
        <v>69</v>
      </c>
    </row>
    <row r="211" spans="1:15" ht="17.100000000000001" customHeight="1" x14ac:dyDescent="0.3">
      <c r="A211" s="3" t="str">
        <f t="shared" si="3"/>
        <v>4600024705C/ PROTOCOLO</v>
      </c>
      <c r="B211" s="14" t="s">
        <v>31</v>
      </c>
      <c r="C211" s="14">
        <v>4600024705</v>
      </c>
      <c r="D211" s="14">
        <v>20</v>
      </c>
      <c r="E211" s="14">
        <v>4704871</v>
      </c>
      <c r="F211" s="14">
        <v>2620</v>
      </c>
      <c r="H211" s="14">
        <v>5024000071</v>
      </c>
      <c r="I211" s="14" t="s">
        <v>77</v>
      </c>
      <c r="J211" s="14" t="s">
        <v>76</v>
      </c>
      <c r="K211" s="15">
        <v>45664</v>
      </c>
      <c r="L211" s="16">
        <v>24.76</v>
      </c>
      <c r="M211" s="1" t="s">
        <v>100</v>
      </c>
      <c r="N211" s="3" t="s">
        <v>122</v>
      </c>
      <c r="O211" s="1" t="s">
        <v>70</v>
      </c>
    </row>
    <row r="212" spans="1:15" ht="17.100000000000001" customHeight="1" x14ac:dyDescent="0.3">
      <c r="A212" s="3" t="str">
        <f t="shared" si="3"/>
        <v>4600014244C/ PROTOCOLO</v>
      </c>
      <c r="B212" s="14" t="s">
        <v>31</v>
      </c>
      <c r="C212" s="14">
        <v>4600014244</v>
      </c>
      <c r="D212" s="14">
        <v>20</v>
      </c>
      <c r="E212" s="14">
        <v>4701447</v>
      </c>
      <c r="F212" s="14">
        <v>7180</v>
      </c>
      <c r="H212" s="14">
        <v>5210100008</v>
      </c>
      <c r="I212" s="14" t="s">
        <v>78</v>
      </c>
      <c r="J212" s="14" t="s">
        <v>79</v>
      </c>
      <c r="K212" s="15">
        <v>44365</v>
      </c>
      <c r="L212" s="16">
        <v>3.7</v>
      </c>
      <c r="M212" s="1" t="s">
        <v>48</v>
      </c>
      <c r="N212" s="3" t="s">
        <v>40</v>
      </c>
      <c r="O212" s="1" t="s">
        <v>70</v>
      </c>
    </row>
    <row r="213" spans="1:15" ht="17.100000000000001" customHeight="1" x14ac:dyDescent="0.3">
      <c r="A213" s="3" t="str">
        <f t="shared" si="3"/>
        <v>4600014244C/ PROTOCOLO</v>
      </c>
      <c r="B213" s="14" t="s">
        <v>31</v>
      </c>
      <c r="C213" s="14">
        <v>4600014244</v>
      </c>
      <c r="D213" s="14">
        <v>20</v>
      </c>
      <c r="E213" s="14">
        <v>4701447</v>
      </c>
      <c r="F213" s="14">
        <v>8910</v>
      </c>
      <c r="H213" s="14">
        <v>5210100008</v>
      </c>
      <c r="I213" s="14" t="s">
        <v>78</v>
      </c>
      <c r="J213" s="14" t="s">
        <v>79</v>
      </c>
      <c r="K213" s="15">
        <v>44365</v>
      </c>
      <c r="L213" s="16">
        <v>4.8499999999999996</v>
      </c>
      <c r="M213" s="1" t="s">
        <v>48</v>
      </c>
      <c r="N213" s="3" t="s">
        <v>40</v>
      </c>
      <c r="O213" s="1" t="s">
        <v>70</v>
      </c>
    </row>
    <row r="214" spans="1:15" ht="17.100000000000001" customHeight="1" x14ac:dyDescent="0.3">
      <c r="A214" s="3" t="str">
        <f t="shared" si="3"/>
        <v>4600014245C/ PROTOCOLO</v>
      </c>
      <c r="B214" s="14" t="s">
        <v>31</v>
      </c>
      <c r="C214" s="14">
        <v>4600014245</v>
      </c>
      <c r="D214" s="14">
        <v>20</v>
      </c>
      <c r="E214" s="14">
        <v>4004744</v>
      </c>
      <c r="F214" s="14">
        <v>3760</v>
      </c>
      <c r="H214" s="14">
        <v>5210100008</v>
      </c>
      <c r="I214" s="14" t="s">
        <v>78</v>
      </c>
      <c r="J214" s="14" t="s">
        <v>79</v>
      </c>
      <c r="K214" s="15">
        <v>44365</v>
      </c>
      <c r="L214" s="16">
        <v>3.67</v>
      </c>
      <c r="M214" s="1" t="s">
        <v>101</v>
      </c>
      <c r="N214" s="3" t="s">
        <v>113</v>
      </c>
      <c r="O214" s="1" t="s">
        <v>70</v>
      </c>
    </row>
    <row r="215" spans="1:15" ht="17.100000000000001" customHeight="1" x14ac:dyDescent="0.3">
      <c r="A215" s="3" t="str">
        <f t="shared" si="3"/>
        <v>4600014245C/ PROTOCOLO</v>
      </c>
      <c r="B215" s="14" t="s">
        <v>31</v>
      </c>
      <c r="C215" s="14">
        <v>4600014245</v>
      </c>
      <c r="D215" s="14">
        <v>20</v>
      </c>
      <c r="E215" s="14">
        <v>4004744</v>
      </c>
      <c r="F215" s="14">
        <v>7170</v>
      </c>
      <c r="H215" s="14">
        <v>5210100008</v>
      </c>
      <c r="I215" s="14" t="s">
        <v>78</v>
      </c>
      <c r="J215" s="14" t="s">
        <v>79</v>
      </c>
      <c r="K215" s="15">
        <v>44365</v>
      </c>
      <c r="L215" s="16">
        <v>4.75</v>
      </c>
      <c r="M215" s="1" t="s">
        <v>101</v>
      </c>
      <c r="N215" s="3" t="s">
        <v>113</v>
      </c>
      <c r="O215" s="1" t="s">
        <v>70</v>
      </c>
    </row>
    <row r="216" spans="1:15" ht="17.100000000000001" customHeight="1" x14ac:dyDescent="0.3">
      <c r="A216" s="3" t="str">
        <f t="shared" si="3"/>
        <v>4600018863C/ PROTOCOLO</v>
      </c>
      <c r="B216" s="14" t="s">
        <v>31</v>
      </c>
      <c r="C216" s="14">
        <v>4600018863</v>
      </c>
      <c r="D216" s="14">
        <v>20</v>
      </c>
      <c r="E216" s="14">
        <v>4707323</v>
      </c>
      <c r="F216" s="14">
        <v>1670</v>
      </c>
      <c r="H216" s="14">
        <v>5210100008</v>
      </c>
      <c r="I216" s="14" t="s">
        <v>78</v>
      </c>
      <c r="J216" s="14" t="s">
        <v>79</v>
      </c>
      <c r="K216" s="15">
        <v>45035</v>
      </c>
      <c r="L216" s="16">
        <v>3.65</v>
      </c>
      <c r="M216" s="1" t="s">
        <v>102</v>
      </c>
      <c r="N216" s="3" t="s">
        <v>123</v>
      </c>
      <c r="O216" s="1" t="s">
        <v>70</v>
      </c>
    </row>
    <row r="217" spans="1:15" ht="17.100000000000001" customHeight="1" x14ac:dyDescent="0.3">
      <c r="A217" s="3" t="str">
        <f t="shared" si="3"/>
        <v>4600018865C/ PROTOCOLO</v>
      </c>
      <c r="B217" s="14" t="s">
        <v>31</v>
      </c>
      <c r="C217" s="14">
        <v>4600018865</v>
      </c>
      <c r="D217" s="14">
        <v>20</v>
      </c>
      <c r="E217" s="14">
        <v>4008172</v>
      </c>
      <c r="F217" s="14">
        <v>1680</v>
      </c>
      <c r="H217" s="14">
        <v>5210100008</v>
      </c>
      <c r="I217" s="14" t="s">
        <v>78</v>
      </c>
      <c r="J217" s="14" t="s">
        <v>79</v>
      </c>
      <c r="K217" s="15">
        <v>44986</v>
      </c>
      <c r="L217" s="16">
        <v>5.1100000000000003</v>
      </c>
      <c r="M217" s="1" t="s">
        <v>103</v>
      </c>
      <c r="N217" s="3" t="s">
        <v>137</v>
      </c>
      <c r="O217" s="1" t="s">
        <v>70</v>
      </c>
    </row>
    <row r="218" spans="1:15" ht="17.100000000000001" customHeight="1" x14ac:dyDescent="0.3">
      <c r="A218" s="3" t="str">
        <f t="shared" si="3"/>
        <v>4600023008C/ PROTOCOLO</v>
      </c>
      <c r="B218" s="14" t="s">
        <v>31</v>
      </c>
      <c r="C218" s="14">
        <v>4600023008</v>
      </c>
      <c r="D218" s="14">
        <v>20</v>
      </c>
      <c r="E218" s="14">
        <v>4004745</v>
      </c>
      <c r="F218" s="14">
        <v>1650</v>
      </c>
      <c r="H218" s="14">
        <v>5210100008</v>
      </c>
      <c r="I218" s="14" t="s">
        <v>78</v>
      </c>
      <c r="J218" s="14" t="s">
        <v>79</v>
      </c>
      <c r="K218" s="15">
        <v>45572</v>
      </c>
      <c r="L218" s="16">
        <v>6.02</v>
      </c>
      <c r="M218" s="1" t="s">
        <v>46</v>
      </c>
      <c r="N218" s="1" t="s">
        <v>39</v>
      </c>
      <c r="O218" s="1" t="s">
        <v>70</v>
      </c>
    </row>
    <row r="219" spans="1:15" ht="17.100000000000001" customHeight="1" x14ac:dyDescent="0.3">
      <c r="A219" s="3" t="str">
        <f t="shared" si="3"/>
        <v>4600025825S/ PROTOCOLO</v>
      </c>
      <c r="B219" s="14" t="s">
        <v>31</v>
      </c>
      <c r="C219" s="14">
        <v>4600025825</v>
      </c>
      <c r="D219" s="14">
        <v>50</v>
      </c>
      <c r="E219" s="14">
        <v>4703909</v>
      </c>
      <c r="F219" s="14">
        <v>50</v>
      </c>
      <c r="H219" s="14">
        <v>5024000070</v>
      </c>
      <c r="I219" s="14" t="s">
        <v>75</v>
      </c>
      <c r="J219" s="14" t="s">
        <v>76</v>
      </c>
      <c r="K219" s="15">
        <v>45755</v>
      </c>
      <c r="L219" s="16">
        <v>2.54</v>
      </c>
      <c r="M219" s="1" t="s">
        <v>56</v>
      </c>
      <c r="N219" s="3" t="s">
        <v>41</v>
      </c>
      <c r="O219" s="1" t="s">
        <v>69</v>
      </c>
    </row>
    <row r="220" spans="1:15" ht="17.100000000000001" customHeight="1" x14ac:dyDescent="0.3">
      <c r="A220" s="3" t="str">
        <f t="shared" si="3"/>
        <v>4600025825C/ PROTOCOLO</v>
      </c>
      <c r="B220" s="14" t="s">
        <v>31</v>
      </c>
      <c r="C220" s="14">
        <v>4600025825</v>
      </c>
      <c r="D220" s="14">
        <v>50</v>
      </c>
      <c r="E220" s="14">
        <v>4703909</v>
      </c>
      <c r="F220" s="14">
        <v>60</v>
      </c>
      <c r="H220" s="14">
        <v>5024000071</v>
      </c>
      <c r="I220" s="14" t="s">
        <v>77</v>
      </c>
      <c r="J220" s="14" t="s">
        <v>76</v>
      </c>
      <c r="K220" s="15">
        <v>45755</v>
      </c>
      <c r="L220" s="16">
        <v>2.98</v>
      </c>
      <c r="M220" s="1" t="s">
        <v>56</v>
      </c>
      <c r="N220" s="3" t="s">
        <v>41</v>
      </c>
      <c r="O220" s="1" t="s">
        <v>70</v>
      </c>
    </row>
    <row r="221" spans="1:15" ht="17.100000000000001" customHeight="1" x14ac:dyDescent="0.3">
      <c r="A221" s="3" t="str">
        <f t="shared" si="3"/>
        <v>4600010343C/ PROTOCOLO</v>
      </c>
      <c r="B221" s="14" t="s">
        <v>31</v>
      </c>
      <c r="C221" s="14">
        <v>4600010343</v>
      </c>
      <c r="D221" s="14">
        <v>200</v>
      </c>
      <c r="E221" s="14">
        <v>4004745</v>
      </c>
      <c r="F221" s="14">
        <v>780</v>
      </c>
      <c r="H221" s="14">
        <v>5210100008</v>
      </c>
      <c r="I221" s="14" t="s">
        <v>78</v>
      </c>
      <c r="J221" s="14" t="s">
        <v>79</v>
      </c>
      <c r="K221" s="15">
        <v>43691</v>
      </c>
      <c r="L221" s="16">
        <v>6.02</v>
      </c>
      <c r="M221" s="1" t="s">
        <v>46</v>
      </c>
      <c r="N221" s="1" t="s">
        <v>39</v>
      </c>
      <c r="O221" s="1" t="s">
        <v>70</v>
      </c>
    </row>
    <row r="222" spans="1:15" ht="17.100000000000001" customHeight="1" x14ac:dyDescent="0.3">
      <c r="A222" s="3" t="str">
        <f t="shared" si="3"/>
        <v>4600015970C/ PROTOCOLO</v>
      </c>
      <c r="B222" s="14" t="s">
        <v>61</v>
      </c>
      <c r="C222" s="14">
        <v>4600015970</v>
      </c>
      <c r="D222" s="14">
        <v>10</v>
      </c>
      <c r="E222" s="14">
        <v>4006856</v>
      </c>
      <c r="F222" s="14">
        <v>1570</v>
      </c>
      <c r="H222" s="14">
        <v>5210100008</v>
      </c>
      <c r="I222" s="14" t="s">
        <v>78</v>
      </c>
      <c r="J222" s="14" t="s">
        <v>79</v>
      </c>
      <c r="K222" s="15">
        <v>44641</v>
      </c>
      <c r="L222" s="16">
        <v>8.64</v>
      </c>
      <c r="M222" s="1" t="s">
        <v>62</v>
      </c>
      <c r="N222" s="3" t="s">
        <v>63</v>
      </c>
      <c r="O222" s="1" t="s">
        <v>70</v>
      </c>
    </row>
    <row r="223" spans="1:15" ht="17.100000000000001" customHeight="1" x14ac:dyDescent="0.3">
      <c r="A223" s="3" t="str">
        <f t="shared" si="3"/>
        <v>4600015971C/ PROTOCOLO</v>
      </c>
      <c r="B223" s="14" t="s">
        <v>61</v>
      </c>
      <c r="C223" s="14">
        <v>4600015971</v>
      </c>
      <c r="D223" s="14">
        <v>10</v>
      </c>
      <c r="E223" s="14">
        <v>4006857</v>
      </c>
      <c r="F223" s="14">
        <v>1570</v>
      </c>
      <c r="H223" s="14">
        <v>5210100008</v>
      </c>
      <c r="I223" s="14" t="s">
        <v>78</v>
      </c>
      <c r="J223" s="14" t="s">
        <v>79</v>
      </c>
      <c r="K223" s="15">
        <v>44648</v>
      </c>
      <c r="L223" s="16">
        <v>0</v>
      </c>
      <c r="M223" s="1" t="s">
        <v>104</v>
      </c>
      <c r="N223" s="3" t="s">
        <v>130</v>
      </c>
      <c r="O223" s="1" t="s">
        <v>70</v>
      </c>
    </row>
    <row r="224" spans="1:15" ht="17.100000000000001" customHeight="1" x14ac:dyDescent="0.3">
      <c r="A224" s="3" t="str">
        <f t="shared" si="3"/>
        <v>4600026163C/ PROTOCOLO</v>
      </c>
      <c r="B224" s="14" t="s">
        <v>61</v>
      </c>
      <c r="C224" s="14">
        <v>4600026163</v>
      </c>
      <c r="D224" s="14">
        <v>10</v>
      </c>
      <c r="E224" s="14">
        <v>3001425</v>
      </c>
      <c r="F224" s="14">
        <v>1410</v>
      </c>
      <c r="H224" s="14">
        <v>5210100008</v>
      </c>
      <c r="I224" s="14" t="s">
        <v>78</v>
      </c>
      <c r="J224" s="14" t="s">
        <v>79</v>
      </c>
      <c r="K224" s="15">
        <v>45786</v>
      </c>
      <c r="L224" s="16">
        <v>11.25</v>
      </c>
      <c r="M224" s="1" t="s">
        <v>57</v>
      </c>
      <c r="N224" s="3" t="s">
        <v>44</v>
      </c>
      <c r="O224" s="1" t="s">
        <v>70</v>
      </c>
    </row>
    <row r="225" spans="1:15" ht="17.100000000000001" customHeight="1" x14ac:dyDescent="0.3">
      <c r="A225" s="3" t="str">
        <f t="shared" si="3"/>
        <v>4600015970S/ PROTOCOLO</v>
      </c>
      <c r="B225" s="14" t="s">
        <v>61</v>
      </c>
      <c r="C225" s="14">
        <v>4600015970</v>
      </c>
      <c r="D225" s="14">
        <v>10</v>
      </c>
      <c r="E225" s="14">
        <v>4006856</v>
      </c>
      <c r="F225" s="14">
        <v>1580</v>
      </c>
      <c r="H225" s="14">
        <v>5210100009</v>
      </c>
      <c r="I225" s="14" t="s">
        <v>80</v>
      </c>
      <c r="J225" s="14" t="s">
        <v>79</v>
      </c>
      <c r="K225" s="15">
        <v>44641</v>
      </c>
      <c r="L225" s="16">
        <v>5.33</v>
      </c>
      <c r="M225" s="1" t="s">
        <v>62</v>
      </c>
      <c r="N225" s="3" t="s">
        <v>63</v>
      </c>
      <c r="O225" s="1" t="s">
        <v>69</v>
      </c>
    </row>
    <row r="226" spans="1:15" ht="17.100000000000001" customHeight="1" x14ac:dyDescent="0.3">
      <c r="A226" s="3" t="str">
        <f t="shared" si="3"/>
        <v>4600015971S/ PROTOCOLO</v>
      </c>
      <c r="B226" s="14" t="s">
        <v>61</v>
      </c>
      <c r="C226" s="14">
        <v>4600015971</v>
      </c>
      <c r="D226" s="14">
        <v>10</v>
      </c>
      <c r="E226" s="14">
        <v>4006857</v>
      </c>
      <c r="F226" s="14">
        <v>1580</v>
      </c>
      <c r="H226" s="14">
        <v>5210100009</v>
      </c>
      <c r="I226" s="14" t="s">
        <v>80</v>
      </c>
      <c r="J226" s="14" t="s">
        <v>79</v>
      </c>
      <c r="K226" s="15">
        <v>44648</v>
      </c>
      <c r="L226" s="16">
        <v>0</v>
      </c>
      <c r="M226" s="1" t="s">
        <v>104</v>
      </c>
      <c r="N226" s="3" t="s">
        <v>130</v>
      </c>
      <c r="O226" s="1" t="s">
        <v>69</v>
      </c>
    </row>
    <row r="227" spans="1:15" ht="17.100000000000001" customHeight="1" x14ac:dyDescent="0.3">
      <c r="A227" s="3" t="str">
        <f t="shared" si="3"/>
        <v>4600026163S/ PROTOCOLO</v>
      </c>
      <c r="B227" s="14" t="s">
        <v>61</v>
      </c>
      <c r="C227" s="14">
        <v>4600026163</v>
      </c>
      <c r="D227" s="14">
        <v>10</v>
      </c>
      <c r="E227" s="14">
        <v>3001425</v>
      </c>
      <c r="F227" s="14">
        <v>60</v>
      </c>
      <c r="H227" s="14">
        <v>5210100009</v>
      </c>
      <c r="I227" s="14" t="s">
        <v>80</v>
      </c>
      <c r="J227" s="14" t="s">
        <v>79</v>
      </c>
      <c r="K227" s="15">
        <v>45786</v>
      </c>
      <c r="L227" s="16">
        <v>3.9</v>
      </c>
      <c r="M227" s="1" t="s">
        <v>57</v>
      </c>
      <c r="N227" s="3" t="s">
        <v>44</v>
      </c>
      <c r="O227" s="1" t="s">
        <v>69</v>
      </c>
    </row>
    <row r="228" spans="1:15" ht="17.100000000000001" customHeight="1" x14ac:dyDescent="0.3">
      <c r="A228" s="3" t="str">
        <f t="shared" si="3"/>
        <v>4600016110C/ PROTOCOLO</v>
      </c>
      <c r="B228" s="14" t="s">
        <v>61</v>
      </c>
      <c r="C228" s="14">
        <v>4600016110</v>
      </c>
      <c r="D228" s="14">
        <v>20</v>
      </c>
      <c r="E228" s="14">
        <v>4002535</v>
      </c>
      <c r="F228" s="14">
        <v>90</v>
      </c>
      <c r="H228" s="14">
        <v>5024000071</v>
      </c>
      <c r="I228" s="14" t="s">
        <v>77</v>
      </c>
      <c r="J228" s="14" t="s">
        <v>76</v>
      </c>
      <c r="K228" s="15">
        <v>44671</v>
      </c>
      <c r="L228" s="16">
        <v>60.96</v>
      </c>
      <c r="M228" s="1" t="s">
        <v>86</v>
      </c>
      <c r="N228" s="3" t="s">
        <v>129</v>
      </c>
      <c r="O228" s="1" t="s">
        <v>70</v>
      </c>
    </row>
    <row r="229" spans="1:15" ht="17.100000000000001" customHeight="1" x14ac:dyDescent="0.3">
      <c r="A229" s="3" t="str">
        <f t="shared" si="3"/>
        <v>4600015970C/ PROTOCOLO</v>
      </c>
      <c r="B229" s="14" t="s">
        <v>61</v>
      </c>
      <c r="C229" s="14">
        <v>4600015970</v>
      </c>
      <c r="D229" s="14">
        <v>20</v>
      </c>
      <c r="E229" s="14">
        <v>4006856</v>
      </c>
      <c r="F229" s="14">
        <v>2340</v>
      </c>
      <c r="H229" s="14">
        <v>5210100008</v>
      </c>
      <c r="I229" s="14" t="s">
        <v>78</v>
      </c>
      <c r="J229" s="14" t="s">
        <v>79</v>
      </c>
      <c r="K229" s="15">
        <v>44641</v>
      </c>
      <c r="L229" s="16">
        <v>8.64</v>
      </c>
      <c r="M229" s="1" t="s">
        <v>62</v>
      </c>
      <c r="N229" s="3" t="s">
        <v>63</v>
      </c>
      <c r="O229" s="1" t="s">
        <v>70</v>
      </c>
    </row>
    <row r="230" spans="1:15" ht="17.100000000000001" customHeight="1" x14ac:dyDescent="0.3">
      <c r="A230" s="3" t="str">
        <f t="shared" si="3"/>
        <v>4600015971C/ PROTOCOLO</v>
      </c>
      <c r="B230" s="14" t="s">
        <v>61</v>
      </c>
      <c r="C230" s="14">
        <v>4600015971</v>
      </c>
      <c r="D230" s="14">
        <v>20</v>
      </c>
      <c r="E230" s="14">
        <v>4006857</v>
      </c>
      <c r="F230" s="14">
        <v>2340</v>
      </c>
      <c r="H230" s="14">
        <v>5210100008</v>
      </c>
      <c r="I230" s="14" t="s">
        <v>78</v>
      </c>
      <c r="J230" s="14" t="s">
        <v>79</v>
      </c>
      <c r="K230" s="15">
        <v>44648</v>
      </c>
      <c r="L230" s="16">
        <v>0</v>
      </c>
      <c r="M230" s="1" t="s">
        <v>104</v>
      </c>
      <c r="N230" s="3" t="s">
        <v>130</v>
      </c>
      <c r="O230" s="1" t="s">
        <v>70</v>
      </c>
    </row>
    <row r="231" spans="1:15" ht="17.100000000000001" customHeight="1" x14ac:dyDescent="0.3">
      <c r="A231" s="3" t="str">
        <f t="shared" si="3"/>
        <v>4600026163C/ PROTOCOLO</v>
      </c>
      <c r="B231" s="14" t="s">
        <v>61</v>
      </c>
      <c r="C231" s="14">
        <v>4600026163</v>
      </c>
      <c r="D231" s="14">
        <v>20</v>
      </c>
      <c r="E231" s="14">
        <v>3001425</v>
      </c>
      <c r="F231" s="14">
        <v>1680</v>
      </c>
      <c r="H231" s="14">
        <v>5210100008</v>
      </c>
      <c r="I231" s="14" t="s">
        <v>78</v>
      </c>
      <c r="J231" s="14" t="s">
        <v>79</v>
      </c>
      <c r="K231" s="15">
        <v>45786</v>
      </c>
      <c r="L231" s="16">
        <v>11.25</v>
      </c>
      <c r="M231" s="1" t="s">
        <v>57</v>
      </c>
      <c r="N231" s="3" t="s">
        <v>44</v>
      </c>
      <c r="O231" s="1" t="s">
        <v>70</v>
      </c>
    </row>
    <row r="232" spans="1:15" ht="17.100000000000001" customHeight="1" x14ac:dyDescent="0.3">
      <c r="A232" s="3" t="str">
        <f t="shared" si="3"/>
        <v>4600015970S/ PROTOCOLO</v>
      </c>
      <c r="B232" s="14" t="s">
        <v>61</v>
      </c>
      <c r="C232" s="14">
        <v>4600015970</v>
      </c>
      <c r="D232" s="14">
        <v>20</v>
      </c>
      <c r="E232" s="14">
        <v>4006856</v>
      </c>
      <c r="F232" s="14">
        <v>2350</v>
      </c>
      <c r="H232" s="14">
        <v>5210100009</v>
      </c>
      <c r="I232" s="14" t="s">
        <v>80</v>
      </c>
      <c r="J232" s="14" t="s">
        <v>79</v>
      </c>
      <c r="K232" s="15">
        <v>44641</v>
      </c>
      <c r="L232" s="16">
        <v>5.33</v>
      </c>
      <c r="M232" s="1" t="s">
        <v>62</v>
      </c>
      <c r="N232" s="3" t="s">
        <v>63</v>
      </c>
      <c r="O232" s="1" t="s">
        <v>69</v>
      </c>
    </row>
    <row r="233" spans="1:15" ht="17.100000000000001" customHeight="1" x14ac:dyDescent="0.3">
      <c r="A233" s="3" t="str">
        <f t="shared" si="3"/>
        <v>4600015971S/ PROTOCOLO</v>
      </c>
      <c r="B233" s="14" t="s">
        <v>61</v>
      </c>
      <c r="C233" s="14">
        <v>4600015971</v>
      </c>
      <c r="D233" s="14">
        <v>20</v>
      </c>
      <c r="E233" s="14">
        <v>4006857</v>
      </c>
      <c r="F233" s="14">
        <v>2350</v>
      </c>
      <c r="H233" s="14">
        <v>5210100009</v>
      </c>
      <c r="I233" s="14" t="s">
        <v>80</v>
      </c>
      <c r="J233" s="14" t="s">
        <v>79</v>
      </c>
      <c r="K233" s="15">
        <v>44648</v>
      </c>
      <c r="L233" s="16">
        <v>0</v>
      </c>
      <c r="M233" s="1" t="s">
        <v>104</v>
      </c>
      <c r="N233" s="3" t="s">
        <v>130</v>
      </c>
      <c r="O233" s="1" t="s">
        <v>69</v>
      </c>
    </row>
    <row r="234" spans="1:15" ht="17.100000000000001" customHeight="1" x14ac:dyDescent="0.3">
      <c r="A234" s="3" t="str">
        <f t="shared" si="3"/>
        <v>4600026163S/ PROTOCOLO</v>
      </c>
      <c r="B234" s="14" t="s">
        <v>61</v>
      </c>
      <c r="C234" s="14">
        <v>4600026163</v>
      </c>
      <c r="D234" s="14">
        <v>20</v>
      </c>
      <c r="E234" s="14">
        <v>3001425</v>
      </c>
      <c r="F234" s="14">
        <v>110</v>
      </c>
      <c r="H234" s="14">
        <v>5210100009</v>
      </c>
      <c r="I234" s="14" t="s">
        <v>80</v>
      </c>
      <c r="J234" s="14" t="s">
        <v>79</v>
      </c>
      <c r="K234" s="15">
        <v>45786</v>
      </c>
      <c r="L234" s="16">
        <v>3.9</v>
      </c>
      <c r="M234" s="1" t="s">
        <v>57</v>
      </c>
      <c r="N234" s="3" t="s">
        <v>44</v>
      </c>
      <c r="O234" s="1" t="s">
        <v>69</v>
      </c>
    </row>
    <row r="235" spans="1:15" ht="17.100000000000001" customHeight="1" x14ac:dyDescent="0.3">
      <c r="A235" s="3" t="str">
        <f t="shared" si="3"/>
        <v>4600016554S/ PROTOCOLO</v>
      </c>
      <c r="B235" s="14" t="s">
        <v>61</v>
      </c>
      <c r="C235" s="14">
        <v>4600016554</v>
      </c>
      <c r="D235" s="14">
        <v>30</v>
      </c>
      <c r="E235" s="14">
        <v>4706893</v>
      </c>
      <c r="F235" s="14">
        <v>60</v>
      </c>
      <c r="H235" s="14">
        <v>5024000070</v>
      </c>
      <c r="I235" s="14" t="s">
        <v>75</v>
      </c>
      <c r="J235" s="14" t="s">
        <v>76</v>
      </c>
      <c r="K235" s="15">
        <v>44747</v>
      </c>
      <c r="L235" s="16">
        <v>1.96</v>
      </c>
      <c r="M235" s="1" t="s">
        <v>53</v>
      </c>
      <c r="N235" s="3" t="s">
        <v>45</v>
      </c>
      <c r="O235" s="1" t="s">
        <v>69</v>
      </c>
    </row>
    <row r="236" spans="1:15" ht="17.100000000000001" customHeight="1" x14ac:dyDescent="0.3">
      <c r="A236" s="3" t="str">
        <f t="shared" si="3"/>
        <v>4600016554C/ PROTOCOLO</v>
      </c>
      <c r="B236" s="14" t="s">
        <v>61</v>
      </c>
      <c r="C236" s="14">
        <v>4600016554</v>
      </c>
      <c r="D236" s="14">
        <v>30</v>
      </c>
      <c r="E236" s="14">
        <v>4706893</v>
      </c>
      <c r="F236" s="14">
        <v>50</v>
      </c>
      <c r="H236" s="14">
        <v>5024000071</v>
      </c>
      <c r="I236" s="14" t="s">
        <v>77</v>
      </c>
      <c r="J236" s="14" t="s">
        <v>76</v>
      </c>
      <c r="K236" s="15">
        <v>44747</v>
      </c>
      <c r="L236" s="16">
        <v>2.29</v>
      </c>
      <c r="M236" s="1" t="s">
        <v>53</v>
      </c>
      <c r="N236" s="3" t="s">
        <v>45</v>
      </c>
      <c r="O236" s="1" t="s">
        <v>70</v>
      </c>
    </row>
    <row r="237" spans="1:15" ht="17.100000000000001" customHeight="1" x14ac:dyDescent="0.3">
      <c r="A237" s="3" t="str">
        <f t="shared" si="3"/>
        <v>4600015970C/ PROTOCOLO</v>
      </c>
      <c r="B237" s="14" t="s">
        <v>61</v>
      </c>
      <c r="C237" s="14">
        <v>4600015970</v>
      </c>
      <c r="D237" s="14">
        <v>50</v>
      </c>
      <c r="E237" s="14">
        <v>4006856</v>
      </c>
      <c r="F237" s="14">
        <v>1030</v>
      </c>
      <c r="H237" s="14">
        <v>5210100008</v>
      </c>
      <c r="I237" s="14" t="s">
        <v>78</v>
      </c>
      <c r="J237" s="14" t="s">
        <v>79</v>
      </c>
      <c r="K237" s="15">
        <v>44641</v>
      </c>
      <c r="L237" s="16">
        <v>5.64</v>
      </c>
      <c r="M237" s="1" t="s">
        <v>62</v>
      </c>
      <c r="N237" s="3" t="s">
        <v>63</v>
      </c>
      <c r="O237" s="1" t="s">
        <v>70</v>
      </c>
    </row>
    <row r="238" spans="1:15" ht="17.100000000000001" customHeight="1" x14ac:dyDescent="0.3">
      <c r="A238" s="3" t="str">
        <f t="shared" si="3"/>
        <v>4600015970C/ PROTOCOLO</v>
      </c>
      <c r="B238" s="14" t="s">
        <v>61</v>
      </c>
      <c r="C238" s="14">
        <v>4600015970</v>
      </c>
      <c r="D238" s="14">
        <v>100</v>
      </c>
      <c r="E238" s="14">
        <v>4006856</v>
      </c>
      <c r="F238" s="14">
        <v>2270</v>
      </c>
      <c r="H238" s="14">
        <v>5210100008</v>
      </c>
      <c r="I238" s="14" t="s">
        <v>78</v>
      </c>
      <c r="J238" s="14" t="s">
        <v>79</v>
      </c>
      <c r="K238" s="15">
        <v>44641</v>
      </c>
      <c r="L238" s="16">
        <v>8.64</v>
      </c>
      <c r="M238" s="1" t="s">
        <v>62</v>
      </c>
      <c r="N238" s="3" t="s">
        <v>63</v>
      </c>
      <c r="O238" s="1" t="s">
        <v>70</v>
      </c>
    </row>
    <row r="239" spans="1:15" ht="17.100000000000001" customHeight="1" x14ac:dyDescent="0.3">
      <c r="A239" s="3" t="str">
        <f t="shared" si="3"/>
        <v>4600015970S/ PROTOCOLO</v>
      </c>
      <c r="B239" s="14" t="s">
        <v>61</v>
      </c>
      <c r="C239" s="14">
        <v>4600015970</v>
      </c>
      <c r="D239" s="14">
        <v>100</v>
      </c>
      <c r="E239" s="14">
        <v>4006856</v>
      </c>
      <c r="F239" s="14">
        <v>2280</v>
      </c>
      <c r="H239" s="14">
        <v>5210100009</v>
      </c>
      <c r="I239" s="14" t="s">
        <v>80</v>
      </c>
      <c r="J239" s="14" t="s">
        <v>79</v>
      </c>
      <c r="K239" s="15">
        <v>44641</v>
      </c>
      <c r="L239" s="16">
        <v>5.33</v>
      </c>
      <c r="M239" s="1" t="s">
        <v>62</v>
      </c>
      <c r="N239" s="3" t="s">
        <v>63</v>
      </c>
      <c r="O239" s="1" t="s">
        <v>69</v>
      </c>
    </row>
    <row r="240" spans="1:15" ht="17.100000000000001" customHeight="1" x14ac:dyDescent="0.3">
      <c r="A240" s="3" t="str">
        <f t="shared" si="3"/>
        <v>4600024769S/ PROTOCOLO</v>
      </c>
      <c r="B240" s="14" t="s">
        <v>35</v>
      </c>
      <c r="C240" s="14">
        <v>4600024769</v>
      </c>
      <c r="D240" s="14">
        <v>10</v>
      </c>
      <c r="E240" s="14">
        <v>4005226</v>
      </c>
      <c r="F240" s="14">
        <v>2720</v>
      </c>
      <c r="H240" s="14">
        <v>5024000070</v>
      </c>
      <c r="I240" s="14" t="s">
        <v>75</v>
      </c>
      <c r="J240" s="14" t="s">
        <v>76</v>
      </c>
      <c r="K240" s="15">
        <v>45670</v>
      </c>
      <c r="L240" s="16">
        <v>6.45</v>
      </c>
      <c r="M240" s="1" t="s">
        <v>49</v>
      </c>
      <c r="N240" s="3" t="s">
        <v>145</v>
      </c>
      <c r="O240" s="1" t="s">
        <v>69</v>
      </c>
    </row>
    <row r="241" spans="1:15" ht="17.100000000000001" customHeight="1" x14ac:dyDescent="0.3">
      <c r="A241" s="3" t="str">
        <f t="shared" si="3"/>
        <v>4600024770S/ PROTOCOLO</v>
      </c>
      <c r="B241" s="14" t="s">
        <v>35</v>
      </c>
      <c r="C241" s="14">
        <v>4600024770</v>
      </c>
      <c r="D241" s="14">
        <v>10</v>
      </c>
      <c r="E241" s="14">
        <v>4005226</v>
      </c>
      <c r="F241" s="14">
        <v>2720</v>
      </c>
      <c r="H241" s="14">
        <v>5024000070</v>
      </c>
      <c r="I241" s="14" t="s">
        <v>75</v>
      </c>
      <c r="J241" s="14" t="s">
        <v>76</v>
      </c>
      <c r="K241" s="15">
        <v>45670</v>
      </c>
      <c r="L241" s="16">
        <v>6.72</v>
      </c>
      <c r="M241" s="1" t="s">
        <v>49</v>
      </c>
      <c r="N241" s="3" t="s">
        <v>145</v>
      </c>
      <c r="O241" s="1" t="s">
        <v>69</v>
      </c>
    </row>
    <row r="242" spans="1:15" ht="17.100000000000001" customHeight="1" x14ac:dyDescent="0.3">
      <c r="A242" s="3" t="str">
        <f t="shared" si="3"/>
        <v>4600024769C/ PROTOCOLO</v>
      </c>
      <c r="B242" s="14" t="s">
        <v>35</v>
      </c>
      <c r="C242" s="14">
        <v>4600024769</v>
      </c>
      <c r="D242" s="14">
        <v>10</v>
      </c>
      <c r="E242" s="14">
        <v>4005226</v>
      </c>
      <c r="F242" s="14">
        <v>2730</v>
      </c>
      <c r="H242" s="14">
        <v>5024000071</v>
      </c>
      <c r="I242" s="14" t="s">
        <v>77</v>
      </c>
      <c r="J242" s="14" t="s">
        <v>76</v>
      </c>
      <c r="K242" s="15">
        <v>45670</v>
      </c>
      <c r="L242" s="16">
        <v>7.55</v>
      </c>
      <c r="M242" s="1" t="s">
        <v>49</v>
      </c>
      <c r="N242" s="3" t="s">
        <v>145</v>
      </c>
      <c r="O242" s="1" t="s">
        <v>70</v>
      </c>
    </row>
    <row r="243" spans="1:15" ht="17.100000000000001" customHeight="1" x14ac:dyDescent="0.3">
      <c r="A243" s="3" t="str">
        <f t="shared" si="3"/>
        <v>4600024770C/ PROTOCOLO</v>
      </c>
      <c r="B243" s="14" t="s">
        <v>35</v>
      </c>
      <c r="C243" s="14">
        <v>4600024770</v>
      </c>
      <c r="D243" s="14">
        <v>10</v>
      </c>
      <c r="E243" s="14">
        <v>4005226</v>
      </c>
      <c r="F243" s="14">
        <v>2730</v>
      </c>
      <c r="H243" s="14">
        <v>5024000071</v>
      </c>
      <c r="I243" s="14" t="s">
        <v>77</v>
      </c>
      <c r="J243" s="14" t="s">
        <v>76</v>
      </c>
      <c r="K243" s="15">
        <v>45670</v>
      </c>
      <c r="L243" s="16">
        <v>7.86</v>
      </c>
      <c r="M243" s="1" t="s">
        <v>49</v>
      </c>
      <c r="N243" s="3" t="s">
        <v>145</v>
      </c>
      <c r="O243" s="1" t="s">
        <v>70</v>
      </c>
    </row>
    <row r="244" spans="1:15" ht="17.100000000000001" customHeight="1" x14ac:dyDescent="0.3">
      <c r="A244" s="3" t="str">
        <f t="shared" si="3"/>
        <v>4600011223C/ PROTOCOLO</v>
      </c>
      <c r="B244" s="14" t="s">
        <v>35</v>
      </c>
      <c r="C244" s="14">
        <v>4600011223</v>
      </c>
      <c r="D244" s="14">
        <v>10</v>
      </c>
      <c r="E244" s="14">
        <v>4005226</v>
      </c>
      <c r="F244" s="14">
        <v>1340</v>
      </c>
      <c r="H244" s="14">
        <v>5210100008</v>
      </c>
      <c r="I244" s="14" t="s">
        <v>78</v>
      </c>
      <c r="J244" s="14" t="s">
        <v>79</v>
      </c>
      <c r="K244" s="15">
        <v>43773</v>
      </c>
      <c r="L244" s="16">
        <v>8.18</v>
      </c>
      <c r="M244" s="1" t="s">
        <v>49</v>
      </c>
      <c r="N244" s="3" t="s">
        <v>145</v>
      </c>
      <c r="O244" s="1" t="s">
        <v>70</v>
      </c>
    </row>
    <row r="245" spans="1:15" ht="17.100000000000001" customHeight="1" x14ac:dyDescent="0.3">
      <c r="A245" s="3" t="str">
        <f t="shared" si="3"/>
        <v>4600011228C/ PROTOCOLO</v>
      </c>
      <c r="B245" s="14" t="s">
        <v>35</v>
      </c>
      <c r="C245" s="14">
        <v>4600011228</v>
      </c>
      <c r="D245" s="14">
        <v>10</v>
      </c>
      <c r="E245" s="14">
        <v>4003616</v>
      </c>
      <c r="F245" s="14">
        <v>1340</v>
      </c>
      <c r="H245" s="14">
        <v>5210100008</v>
      </c>
      <c r="I245" s="14" t="s">
        <v>78</v>
      </c>
      <c r="J245" s="14" t="s">
        <v>79</v>
      </c>
      <c r="K245" s="15">
        <v>43773</v>
      </c>
      <c r="L245" s="16">
        <v>8.2899999999999991</v>
      </c>
      <c r="M245" s="1" t="s">
        <v>48</v>
      </c>
      <c r="N245" s="3" t="s">
        <v>40</v>
      </c>
      <c r="O245" s="1" t="s">
        <v>70</v>
      </c>
    </row>
    <row r="246" spans="1:15" ht="17.100000000000001" customHeight="1" x14ac:dyDescent="0.3">
      <c r="A246" s="3" t="str">
        <f t="shared" si="3"/>
        <v>4600013397C/ PROTOCOLO</v>
      </c>
      <c r="B246" s="14" t="s">
        <v>35</v>
      </c>
      <c r="C246" s="14">
        <v>4600013397</v>
      </c>
      <c r="D246" s="14">
        <v>10</v>
      </c>
      <c r="E246" s="14">
        <v>4003616</v>
      </c>
      <c r="F246" s="14">
        <v>1340</v>
      </c>
      <c r="H246" s="14">
        <v>5210100008</v>
      </c>
      <c r="I246" s="14" t="s">
        <v>78</v>
      </c>
      <c r="J246" s="14" t="s">
        <v>79</v>
      </c>
      <c r="K246" s="15">
        <v>44193</v>
      </c>
      <c r="L246" s="16">
        <v>8.2899999999999991</v>
      </c>
      <c r="M246" s="1" t="s">
        <v>48</v>
      </c>
      <c r="N246" s="3" t="s">
        <v>40</v>
      </c>
      <c r="O246" s="1" t="s">
        <v>70</v>
      </c>
    </row>
    <row r="247" spans="1:15" ht="17.100000000000001" customHeight="1" x14ac:dyDescent="0.3">
      <c r="A247" s="3" t="str">
        <f t="shared" si="3"/>
        <v>4600015309C/ PROTOCOLO</v>
      </c>
      <c r="B247" s="14" t="s">
        <v>35</v>
      </c>
      <c r="C247" s="14">
        <v>4600015309</v>
      </c>
      <c r="D247" s="14">
        <v>10</v>
      </c>
      <c r="E247" s="14">
        <v>4005187</v>
      </c>
      <c r="F247" s="14">
        <v>1680</v>
      </c>
      <c r="H247" s="14">
        <v>5210100008</v>
      </c>
      <c r="I247" s="14" t="s">
        <v>78</v>
      </c>
      <c r="J247" s="14" t="s">
        <v>79</v>
      </c>
      <c r="K247" s="15">
        <v>44505</v>
      </c>
      <c r="L247" s="16">
        <v>3.42</v>
      </c>
      <c r="M247" s="1" t="s">
        <v>105</v>
      </c>
      <c r="N247" s="3" t="s">
        <v>119</v>
      </c>
      <c r="O247" s="1" t="s">
        <v>70</v>
      </c>
    </row>
    <row r="248" spans="1:15" ht="17.100000000000001" customHeight="1" x14ac:dyDescent="0.3">
      <c r="A248" s="3" t="str">
        <f t="shared" si="3"/>
        <v>4600015957C/ PROTOCOLO</v>
      </c>
      <c r="B248" s="14" t="s">
        <v>35</v>
      </c>
      <c r="C248" s="14">
        <v>4600015957</v>
      </c>
      <c r="D248" s="14">
        <v>10</v>
      </c>
      <c r="E248" s="14">
        <v>4005204</v>
      </c>
      <c r="F248" s="14">
        <v>670</v>
      </c>
      <c r="H248" s="14">
        <v>5210100008</v>
      </c>
      <c r="I248" s="14" t="s">
        <v>78</v>
      </c>
      <c r="J248" s="14" t="s">
        <v>79</v>
      </c>
      <c r="K248" s="15">
        <v>44651</v>
      </c>
      <c r="L248" s="16">
        <v>3.99</v>
      </c>
      <c r="M248" s="1" t="s">
        <v>106</v>
      </c>
      <c r="N248" s="3" t="s">
        <v>135</v>
      </c>
      <c r="O248" s="1" t="s">
        <v>70</v>
      </c>
    </row>
    <row r="249" spans="1:15" ht="17.100000000000001" customHeight="1" x14ac:dyDescent="0.3">
      <c r="A249" s="3" t="str">
        <f t="shared" si="3"/>
        <v>4600015958C/ PROTOCOLO</v>
      </c>
      <c r="B249" s="14" t="s">
        <v>35</v>
      </c>
      <c r="C249" s="14">
        <v>4600015958</v>
      </c>
      <c r="D249" s="14">
        <v>10</v>
      </c>
      <c r="E249" s="14">
        <v>4005204</v>
      </c>
      <c r="F249" s="14">
        <v>4680</v>
      </c>
      <c r="H249" s="14">
        <v>5210100008</v>
      </c>
      <c r="I249" s="14" t="s">
        <v>78</v>
      </c>
      <c r="J249" s="14" t="s">
        <v>79</v>
      </c>
      <c r="K249" s="15">
        <v>44651</v>
      </c>
      <c r="L249" s="16">
        <v>4.1100000000000003</v>
      </c>
      <c r="M249" s="1" t="s">
        <v>106</v>
      </c>
      <c r="N249" s="3" t="s">
        <v>135</v>
      </c>
      <c r="O249" s="1" t="s">
        <v>70</v>
      </c>
    </row>
    <row r="250" spans="1:15" ht="17.100000000000001" customHeight="1" x14ac:dyDescent="0.3">
      <c r="A250" s="3" t="str">
        <f t="shared" si="3"/>
        <v>4600015958C/ PROTOCOLO</v>
      </c>
      <c r="B250" s="14" t="s">
        <v>35</v>
      </c>
      <c r="C250" s="14">
        <v>4600015958</v>
      </c>
      <c r="D250" s="14">
        <v>10</v>
      </c>
      <c r="E250" s="14">
        <v>4005204</v>
      </c>
      <c r="F250" s="14">
        <v>6400</v>
      </c>
      <c r="H250" s="14">
        <v>5210100008</v>
      </c>
      <c r="I250" s="14" t="s">
        <v>78</v>
      </c>
      <c r="J250" s="14" t="s">
        <v>79</v>
      </c>
      <c r="K250" s="15">
        <v>44651</v>
      </c>
      <c r="L250" s="16">
        <v>4.1100000000000003</v>
      </c>
      <c r="M250" s="1" t="s">
        <v>106</v>
      </c>
      <c r="N250" s="3" t="s">
        <v>135</v>
      </c>
      <c r="O250" s="1" t="s">
        <v>70</v>
      </c>
    </row>
    <row r="251" spans="1:15" ht="17.100000000000001" customHeight="1" x14ac:dyDescent="0.3">
      <c r="A251" s="3" t="str">
        <f t="shared" si="3"/>
        <v>4600016681C/ PROTOCOLO</v>
      </c>
      <c r="B251" s="14" t="s">
        <v>35</v>
      </c>
      <c r="C251" s="14">
        <v>4600016681</v>
      </c>
      <c r="D251" s="14">
        <v>10</v>
      </c>
      <c r="E251" s="14">
        <v>4706703</v>
      </c>
      <c r="F251" s="14">
        <v>270</v>
      </c>
      <c r="H251" s="14">
        <v>5210100008</v>
      </c>
      <c r="I251" s="14" t="s">
        <v>78</v>
      </c>
      <c r="J251" s="14" t="s">
        <v>79</v>
      </c>
      <c r="K251" s="15">
        <v>44770</v>
      </c>
      <c r="L251" s="16">
        <v>5.23</v>
      </c>
      <c r="M251" s="1" t="s">
        <v>107</v>
      </c>
      <c r="N251" s="3" t="s">
        <v>133</v>
      </c>
      <c r="O251" s="1" t="s">
        <v>70</v>
      </c>
    </row>
    <row r="252" spans="1:15" ht="17.100000000000001" customHeight="1" x14ac:dyDescent="0.3">
      <c r="A252" s="3" t="str">
        <f t="shared" si="3"/>
        <v>4600011223S/ PROTOCOLO</v>
      </c>
      <c r="B252" s="14" t="s">
        <v>35</v>
      </c>
      <c r="C252" s="14">
        <v>4600011223</v>
      </c>
      <c r="D252" s="14">
        <v>10</v>
      </c>
      <c r="E252" s="14">
        <v>4005226</v>
      </c>
      <c r="F252" s="14">
        <v>1520</v>
      </c>
      <c r="H252" s="14">
        <v>5210100009</v>
      </c>
      <c r="I252" s="14" t="s">
        <v>80</v>
      </c>
      <c r="J252" s="14" t="s">
        <v>79</v>
      </c>
      <c r="K252" s="15">
        <v>43773</v>
      </c>
      <c r="L252" s="16">
        <v>2.95</v>
      </c>
      <c r="M252" s="1" t="s">
        <v>49</v>
      </c>
      <c r="N252" s="3" t="s">
        <v>145</v>
      </c>
      <c r="O252" s="1" t="s">
        <v>69</v>
      </c>
    </row>
    <row r="253" spans="1:15" ht="17.100000000000001" customHeight="1" x14ac:dyDescent="0.3">
      <c r="A253" s="3" t="str">
        <f t="shared" si="3"/>
        <v>4600011228S/ PROTOCOLO</v>
      </c>
      <c r="B253" s="14" t="s">
        <v>35</v>
      </c>
      <c r="C253" s="14">
        <v>4600011228</v>
      </c>
      <c r="D253" s="14">
        <v>10</v>
      </c>
      <c r="E253" s="14">
        <v>4003616</v>
      </c>
      <c r="F253" s="14">
        <v>1520</v>
      </c>
      <c r="H253" s="14">
        <v>5210100009</v>
      </c>
      <c r="I253" s="14" t="s">
        <v>80</v>
      </c>
      <c r="J253" s="14" t="s">
        <v>79</v>
      </c>
      <c r="K253" s="15">
        <v>43773</v>
      </c>
      <c r="L253" s="16">
        <v>4.51</v>
      </c>
      <c r="M253" s="1" t="s">
        <v>48</v>
      </c>
      <c r="N253" s="3" t="s">
        <v>40</v>
      </c>
      <c r="O253" s="1" t="s">
        <v>69</v>
      </c>
    </row>
    <row r="254" spans="1:15" ht="17.100000000000001" customHeight="1" x14ac:dyDescent="0.3">
      <c r="A254" s="3" t="str">
        <f t="shared" si="3"/>
        <v>4600024769S/ PROTOCOLO</v>
      </c>
      <c r="B254" s="14" t="s">
        <v>35</v>
      </c>
      <c r="C254" s="14">
        <v>4600024769</v>
      </c>
      <c r="D254" s="14">
        <v>20</v>
      </c>
      <c r="E254" s="14">
        <v>4005226</v>
      </c>
      <c r="F254" s="14">
        <v>2720</v>
      </c>
      <c r="H254" s="14">
        <v>5024000070</v>
      </c>
      <c r="I254" s="14" t="s">
        <v>75</v>
      </c>
      <c r="J254" s="14" t="s">
        <v>76</v>
      </c>
      <c r="K254" s="15">
        <v>45670</v>
      </c>
      <c r="L254" s="16">
        <v>6.45</v>
      </c>
      <c r="M254" s="1" t="s">
        <v>49</v>
      </c>
      <c r="N254" s="3" t="s">
        <v>145</v>
      </c>
      <c r="O254" s="1" t="s">
        <v>69</v>
      </c>
    </row>
    <row r="255" spans="1:15" ht="17.100000000000001" customHeight="1" x14ac:dyDescent="0.3">
      <c r="A255" s="3" t="str">
        <f t="shared" si="3"/>
        <v>4600024770S/ PROTOCOLO</v>
      </c>
      <c r="B255" s="14" t="s">
        <v>35</v>
      </c>
      <c r="C255" s="14">
        <v>4600024770</v>
      </c>
      <c r="D255" s="14">
        <v>20</v>
      </c>
      <c r="E255" s="14">
        <v>4005226</v>
      </c>
      <c r="F255" s="14">
        <v>2720</v>
      </c>
      <c r="H255" s="14">
        <v>5024000070</v>
      </c>
      <c r="I255" s="14" t="s">
        <v>75</v>
      </c>
      <c r="J255" s="14" t="s">
        <v>76</v>
      </c>
      <c r="K255" s="15">
        <v>45670</v>
      </c>
      <c r="L255" s="16">
        <v>6.72</v>
      </c>
      <c r="M255" s="1" t="s">
        <v>49</v>
      </c>
      <c r="N255" s="3" t="s">
        <v>145</v>
      </c>
      <c r="O255" s="1" t="s">
        <v>69</v>
      </c>
    </row>
    <row r="256" spans="1:15" ht="17.100000000000001" customHeight="1" x14ac:dyDescent="0.3">
      <c r="A256" s="3" t="str">
        <f t="shared" si="3"/>
        <v>4600024769C/ PROTOCOLO</v>
      </c>
      <c r="B256" s="14" t="s">
        <v>35</v>
      </c>
      <c r="C256" s="14">
        <v>4600024769</v>
      </c>
      <c r="D256" s="14">
        <v>20</v>
      </c>
      <c r="E256" s="14">
        <v>4005226</v>
      </c>
      <c r="F256" s="14">
        <v>2730</v>
      </c>
      <c r="H256" s="14">
        <v>5024000071</v>
      </c>
      <c r="I256" s="14" t="s">
        <v>77</v>
      </c>
      <c r="J256" s="14" t="s">
        <v>76</v>
      </c>
      <c r="K256" s="15">
        <v>45670</v>
      </c>
      <c r="L256" s="16">
        <v>7.55</v>
      </c>
      <c r="M256" s="1" t="s">
        <v>49</v>
      </c>
      <c r="N256" s="3" t="s">
        <v>145</v>
      </c>
      <c r="O256" s="1" t="s">
        <v>70</v>
      </c>
    </row>
    <row r="257" spans="1:15" ht="17.100000000000001" customHeight="1" x14ac:dyDescent="0.3">
      <c r="A257" s="3" t="str">
        <f t="shared" si="3"/>
        <v>4600024770C/ PROTOCOLO</v>
      </c>
      <c r="B257" s="14" t="s">
        <v>35</v>
      </c>
      <c r="C257" s="14">
        <v>4600024770</v>
      </c>
      <c r="D257" s="14">
        <v>20</v>
      </c>
      <c r="E257" s="14">
        <v>4005226</v>
      </c>
      <c r="F257" s="14">
        <v>2730</v>
      </c>
      <c r="H257" s="14">
        <v>5024000071</v>
      </c>
      <c r="I257" s="14" t="s">
        <v>77</v>
      </c>
      <c r="J257" s="14" t="s">
        <v>76</v>
      </c>
      <c r="K257" s="15">
        <v>45670</v>
      </c>
      <c r="L257" s="16">
        <v>7.86</v>
      </c>
      <c r="M257" s="1" t="s">
        <v>49</v>
      </c>
      <c r="N257" s="3" t="s">
        <v>145</v>
      </c>
      <c r="O257" s="1" t="s">
        <v>70</v>
      </c>
    </row>
    <row r="258" spans="1:15" ht="17.100000000000001" customHeight="1" x14ac:dyDescent="0.3">
      <c r="A258" s="3" t="str">
        <f t="shared" si="3"/>
        <v>4600013396C/ PROTOCOLO</v>
      </c>
      <c r="B258" s="14" t="s">
        <v>35</v>
      </c>
      <c r="C258" s="14">
        <v>4600013396</v>
      </c>
      <c r="D258" s="14">
        <v>20</v>
      </c>
      <c r="E258" s="14">
        <v>4005226</v>
      </c>
      <c r="F258" s="14">
        <v>1670</v>
      </c>
      <c r="H258" s="14">
        <v>5210100008</v>
      </c>
      <c r="I258" s="14" t="s">
        <v>78</v>
      </c>
      <c r="J258" s="14" t="s">
        <v>79</v>
      </c>
      <c r="K258" s="15">
        <v>44193</v>
      </c>
      <c r="L258" s="16">
        <v>8.18</v>
      </c>
      <c r="M258" s="1" t="s">
        <v>49</v>
      </c>
      <c r="N258" s="3" t="s">
        <v>145</v>
      </c>
      <c r="O258" s="1" t="s">
        <v>70</v>
      </c>
    </row>
    <row r="259" spans="1:15" ht="17.100000000000001" customHeight="1" x14ac:dyDescent="0.3">
      <c r="A259" s="3" t="str">
        <f t="shared" ref="A259:A294" si="4">C259&amp;O259</f>
        <v>4600013397C/ PROTOCOLO</v>
      </c>
      <c r="B259" s="14" t="s">
        <v>35</v>
      </c>
      <c r="C259" s="14">
        <v>4600013397</v>
      </c>
      <c r="D259" s="14">
        <v>20</v>
      </c>
      <c r="E259" s="14">
        <v>4003616</v>
      </c>
      <c r="F259" s="14">
        <v>1670</v>
      </c>
      <c r="H259" s="14">
        <v>5210100008</v>
      </c>
      <c r="I259" s="14" t="s">
        <v>78</v>
      </c>
      <c r="J259" s="14" t="s">
        <v>79</v>
      </c>
      <c r="K259" s="15">
        <v>44193</v>
      </c>
      <c r="L259" s="16">
        <v>8.2899999999999991</v>
      </c>
      <c r="M259" s="1" t="s">
        <v>48</v>
      </c>
      <c r="N259" s="3" t="s">
        <v>40</v>
      </c>
      <c r="O259" s="1" t="s">
        <v>70</v>
      </c>
    </row>
    <row r="260" spans="1:15" ht="17.100000000000001" customHeight="1" x14ac:dyDescent="0.3">
      <c r="A260" s="3" t="str">
        <f t="shared" si="4"/>
        <v>4600014251C/ PROTOCOLO</v>
      </c>
      <c r="B260" s="14" t="s">
        <v>35</v>
      </c>
      <c r="C260" s="14">
        <v>4600014251</v>
      </c>
      <c r="D260" s="14">
        <v>20</v>
      </c>
      <c r="E260" s="14">
        <v>4003017</v>
      </c>
      <c r="F260" s="14">
        <v>3750</v>
      </c>
      <c r="H260" s="14">
        <v>5210100008</v>
      </c>
      <c r="I260" s="14" t="s">
        <v>78</v>
      </c>
      <c r="J260" s="14" t="s">
        <v>79</v>
      </c>
      <c r="K260" s="15">
        <v>44365</v>
      </c>
      <c r="L260" s="16">
        <v>4.67</v>
      </c>
      <c r="M260" s="1" t="s">
        <v>108</v>
      </c>
      <c r="N260" s="3" t="s">
        <v>132</v>
      </c>
      <c r="O260" s="1" t="s">
        <v>70</v>
      </c>
    </row>
    <row r="261" spans="1:15" ht="17.100000000000001" customHeight="1" x14ac:dyDescent="0.3">
      <c r="A261" s="3" t="str">
        <f t="shared" si="4"/>
        <v>4600014251C/ PROTOCOLO</v>
      </c>
      <c r="B261" s="14" t="s">
        <v>35</v>
      </c>
      <c r="C261" s="14">
        <v>4600014251</v>
      </c>
      <c r="D261" s="14">
        <v>20</v>
      </c>
      <c r="E261" s="14">
        <v>4003017</v>
      </c>
      <c r="F261" s="14">
        <v>5470</v>
      </c>
      <c r="H261" s="14">
        <v>5210100008</v>
      </c>
      <c r="I261" s="14" t="s">
        <v>78</v>
      </c>
      <c r="J261" s="14" t="s">
        <v>79</v>
      </c>
      <c r="K261" s="15">
        <v>44365</v>
      </c>
      <c r="L261" s="16">
        <v>4.67</v>
      </c>
      <c r="M261" s="1" t="s">
        <v>108</v>
      </c>
      <c r="N261" s="3" t="s">
        <v>132</v>
      </c>
      <c r="O261" s="1" t="s">
        <v>70</v>
      </c>
    </row>
    <row r="262" spans="1:15" ht="17.100000000000001" customHeight="1" x14ac:dyDescent="0.3">
      <c r="A262" s="3" t="str">
        <f t="shared" si="4"/>
        <v>4600015957C/ PROTOCOLO</v>
      </c>
      <c r="B262" s="14" t="s">
        <v>35</v>
      </c>
      <c r="C262" s="14">
        <v>4600015957</v>
      </c>
      <c r="D262" s="14">
        <v>20</v>
      </c>
      <c r="E262" s="14">
        <v>4005204</v>
      </c>
      <c r="F262" s="14">
        <v>670</v>
      </c>
      <c r="H262" s="14">
        <v>5210100008</v>
      </c>
      <c r="I262" s="14" t="s">
        <v>78</v>
      </c>
      <c r="J262" s="14" t="s">
        <v>79</v>
      </c>
      <c r="K262" s="15">
        <v>44651</v>
      </c>
      <c r="L262" s="16">
        <v>3.99</v>
      </c>
      <c r="M262" s="1" t="s">
        <v>106</v>
      </c>
      <c r="N262" s="3" t="s">
        <v>135</v>
      </c>
      <c r="O262" s="1" t="s">
        <v>70</v>
      </c>
    </row>
    <row r="263" spans="1:15" ht="17.100000000000001" customHeight="1" x14ac:dyDescent="0.3">
      <c r="A263" s="3" t="str">
        <f t="shared" si="4"/>
        <v>4600021296C/ PROTOCOLO</v>
      </c>
      <c r="B263" s="14" t="s">
        <v>35</v>
      </c>
      <c r="C263" s="14">
        <v>4600021296</v>
      </c>
      <c r="D263" s="14">
        <v>20</v>
      </c>
      <c r="E263" s="14">
        <v>4005265</v>
      </c>
      <c r="F263" s="14">
        <v>280</v>
      </c>
      <c r="H263" s="14">
        <v>5210100008</v>
      </c>
      <c r="I263" s="14" t="s">
        <v>78</v>
      </c>
      <c r="J263" s="14" t="s">
        <v>79</v>
      </c>
      <c r="K263" s="15">
        <v>45429</v>
      </c>
      <c r="L263" s="16">
        <v>3.91</v>
      </c>
      <c r="M263" s="1" t="s">
        <v>109</v>
      </c>
      <c r="N263" s="3" t="s">
        <v>126</v>
      </c>
      <c r="O263" s="1" t="s">
        <v>70</v>
      </c>
    </row>
    <row r="264" spans="1:15" ht="17.100000000000001" customHeight="1" x14ac:dyDescent="0.3">
      <c r="A264" s="3" t="str">
        <f t="shared" si="4"/>
        <v>4600021297C/ PROTOCOLO</v>
      </c>
      <c r="B264" s="14" t="s">
        <v>35</v>
      </c>
      <c r="C264" s="14">
        <v>4600021297</v>
      </c>
      <c r="D264" s="14">
        <v>20</v>
      </c>
      <c r="E264" s="14">
        <v>4705817</v>
      </c>
      <c r="F264" s="14">
        <v>280</v>
      </c>
      <c r="H264" s="14">
        <v>5210100008</v>
      </c>
      <c r="I264" s="14" t="s">
        <v>78</v>
      </c>
      <c r="J264" s="14" t="s">
        <v>79</v>
      </c>
      <c r="K264" s="15">
        <v>45429</v>
      </c>
      <c r="L264" s="16">
        <v>4.07</v>
      </c>
      <c r="M264" s="1" t="s">
        <v>110</v>
      </c>
      <c r="N264" s="3" t="s">
        <v>149</v>
      </c>
      <c r="O264" s="1" t="s">
        <v>70</v>
      </c>
    </row>
    <row r="265" spans="1:15" ht="17.100000000000001" customHeight="1" x14ac:dyDescent="0.3">
      <c r="A265" s="3" t="str">
        <f t="shared" si="4"/>
        <v>4600021319C/ PROTOCOLO</v>
      </c>
      <c r="B265" s="14" t="s">
        <v>35</v>
      </c>
      <c r="C265" s="14">
        <v>4600021319</v>
      </c>
      <c r="D265" s="14">
        <v>20</v>
      </c>
      <c r="E265" s="14">
        <v>4705870</v>
      </c>
      <c r="F265" s="14">
        <v>280</v>
      </c>
      <c r="H265" s="14">
        <v>5210100008</v>
      </c>
      <c r="I265" s="14" t="s">
        <v>78</v>
      </c>
      <c r="J265" s="14" t="s">
        <v>79</v>
      </c>
      <c r="K265" s="15">
        <v>45434</v>
      </c>
      <c r="L265" s="16">
        <v>3.74</v>
      </c>
      <c r="M265" s="1" t="s">
        <v>111</v>
      </c>
      <c r="N265" s="3" t="s">
        <v>117</v>
      </c>
      <c r="O265" s="1" t="s">
        <v>70</v>
      </c>
    </row>
    <row r="266" spans="1:15" ht="17.100000000000001" customHeight="1" x14ac:dyDescent="0.3">
      <c r="A266" s="3" t="str">
        <f t="shared" si="4"/>
        <v>4600021344C/ PROTOCOLO</v>
      </c>
      <c r="B266" s="14" t="s">
        <v>35</v>
      </c>
      <c r="C266" s="14">
        <v>4600021344</v>
      </c>
      <c r="D266" s="14">
        <v>20</v>
      </c>
      <c r="E266" s="14">
        <v>4005187</v>
      </c>
      <c r="F266" s="14">
        <v>280</v>
      </c>
      <c r="H266" s="14">
        <v>5210100008</v>
      </c>
      <c r="I266" s="14" t="s">
        <v>78</v>
      </c>
      <c r="J266" s="14" t="s">
        <v>79</v>
      </c>
      <c r="K266" s="15">
        <v>45440</v>
      </c>
      <c r="L266" s="16">
        <v>3.98</v>
      </c>
      <c r="M266" s="1" t="s">
        <v>105</v>
      </c>
      <c r="N266" s="3" t="s">
        <v>119</v>
      </c>
      <c r="O266" s="1" t="s">
        <v>70</v>
      </c>
    </row>
    <row r="267" spans="1:15" ht="17.100000000000001" customHeight="1" x14ac:dyDescent="0.3">
      <c r="A267" s="3" t="str">
        <f t="shared" si="4"/>
        <v>4600021416C/ PROTOCOLO</v>
      </c>
      <c r="B267" s="14" t="s">
        <v>35</v>
      </c>
      <c r="C267" s="14">
        <v>4600021416</v>
      </c>
      <c r="D267" s="14">
        <v>20</v>
      </c>
      <c r="E267" s="14">
        <v>4003017</v>
      </c>
      <c r="F267" s="14">
        <v>290</v>
      </c>
      <c r="H267" s="14">
        <v>5210100008</v>
      </c>
      <c r="I267" s="14" t="s">
        <v>78</v>
      </c>
      <c r="J267" s="14" t="s">
        <v>79</v>
      </c>
      <c r="K267" s="15">
        <v>45448</v>
      </c>
      <c r="L267" s="16">
        <v>4.1399999999999997</v>
      </c>
      <c r="M267" s="1" t="s">
        <v>108</v>
      </c>
      <c r="N267" s="3" t="s">
        <v>132</v>
      </c>
      <c r="O267" s="1" t="s">
        <v>70</v>
      </c>
    </row>
    <row r="268" spans="1:15" ht="17.100000000000001" customHeight="1" x14ac:dyDescent="0.3">
      <c r="A268" s="3" t="str">
        <f t="shared" si="4"/>
        <v>4600022341C/ PROTOCOLO</v>
      </c>
      <c r="B268" s="14" t="s">
        <v>35</v>
      </c>
      <c r="C268" s="14">
        <v>4600022341</v>
      </c>
      <c r="D268" s="14">
        <v>20</v>
      </c>
      <c r="E268" s="14">
        <v>4707323</v>
      </c>
      <c r="F268" s="14">
        <v>1670</v>
      </c>
      <c r="H268" s="14">
        <v>5210100008</v>
      </c>
      <c r="I268" s="14" t="s">
        <v>78</v>
      </c>
      <c r="J268" s="14" t="s">
        <v>79</v>
      </c>
      <c r="K268" s="15">
        <v>45511</v>
      </c>
      <c r="L268" s="16">
        <v>6.02</v>
      </c>
      <c r="M268" s="1" t="s">
        <v>102</v>
      </c>
      <c r="N268" s="3" t="s">
        <v>123</v>
      </c>
      <c r="O268" s="1" t="s">
        <v>70</v>
      </c>
    </row>
    <row r="269" spans="1:15" ht="17.100000000000001" customHeight="1" x14ac:dyDescent="0.3">
      <c r="A269" s="3" t="str">
        <f t="shared" si="4"/>
        <v>4600013396S/ PROTOCOLO</v>
      </c>
      <c r="B269" s="14" t="s">
        <v>35</v>
      </c>
      <c r="C269" s="14">
        <v>4600013396</v>
      </c>
      <c r="D269" s="14">
        <v>20</v>
      </c>
      <c r="E269" s="14">
        <v>4005226</v>
      </c>
      <c r="F269" s="14">
        <v>2140</v>
      </c>
      <c r="H269" s="14">
        <v>5210100009</v>
      </c>
      <c r="I269" s="14" t="s">
        <v>80</v>
      </c>
      <c r="J269" s="14" t="s">
        <v>79</v>
      </c>
      <c r="K269" s="15">
        <v>44193</v>
      </c>
      <c r="L269" s="16">
        <v>2.95</v>
      </c>
      <c r="M269" s="1" t="s">
        <v>49</v>
      </c>
      <c r="N269" s="3" t="s">
        <v>145</v>
      </c>
      <c r="O269" s="1" t="s">
        <v>69</v>
      </c>
    </row>
    <row r="270" spans="1:15" ht="17.100000000000001" customHeight="1" x14ac:dyDescent="0.3">
      <c r="A270" s="3" t="str">
        <f t="shared" si="4"/>
        <v>4600017626C/ PROTOCOLO</v>
      </c>
      <c r="B270" s="14" t="s">
        <v>35</v>
      </c>
      <c r="C270" s="14">
        <v>4600017626</v>
      </c>
      <c r="D270" s="14">
        <v>30</v>
      </c>
      <c r="E270" s="14">
        <v>4707323</v>
      </c>
      <c r="F270" s="14">
        <v>270</v>
      </c>
      <c r="H270" s="14">
        <v>5210100008</v>
      </c>
      <c r="I270" s="14" t="s">
        <v>78</v>
      </c>
      <c r="J270" s="14" t="s">
        <v>79</v>
      </c>
      <c r="K270" s="15">
        <v>44908</v>
      </c>
      <c r="L270" s="16">
        <v>3.96</v>
      </c>
      <c r="M270" s="1" t="s">
        <v>102</v>
      </c>
      <c r="N270" s="3" t="s">
        <v>123</v>
      </c>
      <c r="O270" s="1" t="s">
        <v>70</v>
      </c>
    </row>
    <row r="271" spans="1:15" ht="17.100000000000001" customHeight="1" x14ac:dyDescent="0.3">
      <c r="A271" s="3" t="str">
        <f t="shared" si="4"/>
        <v>4600017626C/ PROTOCOLO</v>
      </c>
      <c r="B271" s="14" t="s">
        <v>35</v>
      </c>
      <c r="C271" s="14">
        <v>4600017626</v>
      </c>
      <c r="D271" s="14">
        <v>40</v>
      </c>
      <c r="E271" s="14">
        <v>4707323</v>
      </c>
      <c r="F271" s="14">
        <v>270</v>
      </c>
      <c r="H271" s="14">
        <v>5210100008</v>
      </c>
      <c r="I271" s="14" t="s">
        <v>78</v>
      </c>
      <c r="J271" s="14" t="s">
        <v>79</v>
      </c>
      <c r="K271" s="15">
        <v>44908</v>
      </c>
      <c r="L271" s="16">
        <v>3.96</v>
      </c>
      <c r="M271" s="1" t="s">
        <v>102</v>
      </c>
      <c r="N271" s="3" t="s">
        <v>123</v>
      </c>
      <c r="O271" s="1" t="s">
        <v>70</v>
      </c>
    </row>
    <row r="272" spans="1:15" ht="17.100000000000001" customHeight="1" x14ac:dyDescent="0.3">
      <c r="A272" s="3" t="str">
        <f t="shared" si="4"/>
        <v>4600025902S/ PROTOCOLO</v>
      </c>
      <c r="B272" s="14" t="s">
        <v>35</v>
      </c>
      <c r="C272" s="14">
        <v>4600025902</v>
      </c>
      <c r="D272" s="14">
        <v>60</v>
      </c>
      <c r="E272" s="14">
        <v>4706703</v>
      </c>
      <c r="F272" s="14">
        <v>2540</v>
      </c>
      <c r="H272" s="14">
        <v>5024000070</v>
      </c>
      <c r="I272" s="14" t="s">
        <v>75</v>
      </c>
      <c r="J272" s="14" t="s">
        <v>76</v>
      </c>
      <c r="K272" s="15">
        <v>45761</v>
      </c>
      <c r="L272" s="16">
        <v>34.79</v>
      </c>
      <c r="M272" s="1" t="s">
        <v>107</v>
      </c>
      <c r="N272" s="3" t="s">
        <v>133</v>
      </c>
      <c r="O272" s="1" t="s">
        <v>69</v>
      </c>
    </row>
    <row r="273" spans="1:15" ht="17.100000000000001" customHeight="1" x14ac:dyDescent="0.3">
      <c r="A273" s="3" t="str">
        <f t="shared" si="4"/>
        <v>4600025902C/ PROTOCOLO</v>
      </c>
      <c r="B273" s="14" t="s">
        <v>35</v>
      </c>
      <c r="C273" s="14">
        <v>4600025902</v>
      </c>
      <c r="D273" s="14">
        <v>60</v>
      </c>
      <c r="E273" s="14">
        <v>4706703</v>
      </c>
      <c r="F273" s="14">
        <v>2550</v>
      </c>
      <c r="H273" s="14">
        <v>5024000071</v>
      </c>
      <c r="I273" s="14" t="s">
        <v>77</v>
      </c>
      <c r="J273" s="14" t="s">
        <v>76</v>
      </c>
      <c r="K273" s="15">
        <v>45761</v>
      </c>
      <c r="L273" s="16">
        <v>40.72</v>
      </c>
      <c r="M273" s="1" t="s">
        <v>107</v>
      </c>
      <c r="N273" s="3" t="s">
        <v>133</v>
      </c>
      <c r="O273" s="1" t="s">
        <v>70</v>
      </c>
    </row>
    <row r="274" spans="1:15" ht="17.100000000000001" customHeight="1" x14ac:dyDescent="0.3">
      <c r="A274" s="3" t="str">
        <f t="shared" si="4"/>
        <v>4600013396C/ PROTOCOLO</v>
      </c>
      <c r="B274" s="14" t="s">
        <v>35</v>
      </c>
      <c r="C274" s="14">
        <v>4600013396</v>
      </c>
      <c r="D274" s="14">
        <v>60</v>
      </c>
      <c r="E274" s="14">
        <v>4005226</v>
      </c>
      <c r="F274" s="14">
        <v>1000</v>
      </c>
      <c r="H274" s="14">
        <v>5210100008</v>
      </c>
      <c r="I274" s="14" t="s">
        <v>78</v>
      </c>
      <c r="J274" s="14" t="s">
        <v>79</v>
      </c>
      <c r="K274" s="15">
        <v>44193</v>
      </c>
      <c r="L274" s="16">
        <v>2.58</v>
      </c>
      <c r="M274" s="1" t="s">
        <v>49</v>
      </c>
      <c r="N274" s="3" t="s">
        <v>145</v>
      </c>
      <c r="O274" s="1" t="s">
        <v>70</v>
      </c>
    </row>
    <row r="275" spans="1:15" ht="17.100000000000001" customHeight="1" x14ac:dyDescent="0.3">
      <c r="A275" s="3" t="str">
        <f t="shared" si="4"/>
        <v>4600016204C/ PROTOCOLO</v>
      </c>
      <c r="B275" s="14" t="s">
        <v>35</v>
      </c>
      <c r="C275" s="14">
        <v>4600016204</v>
      </c>
      <c r="D275" s="14">
        <v>70</v>
      </c>
      <c r="E275" s="14">
        <v>4706703</v>
      </c>
      <c r="F275" s="14">
        <v>2440</v>
      </c>
      <c r="H275" s="14">
        <v>5210100008</v>
      </c>
      <c r="I275" s="14" t="s">
        <v>78</v>
      </c>
      <c r="J275" s="14" t="s">
        <v>79</v>
      </c>
      <c r="K275" s="15">
        <v>44692</v>
      </c>
      <c r="L275" s="16">
        <v>8.43</v>
      </c>
      <c r="M275" s="1" t="s">
        <v>107</v>
      </c>
      <c r="N275" s="3" t="s">
        <v>133</v>
      </c>
      <c r="O275" s="1" t="s">
        <v>70</v>
      </c>
    </row>
    <row r="276" spans="1:15" ht="17.100000000000001" customHeight="1" x14ac:dyDescent="0.3">
      <c r="A276" s="3" t="str">
        <f t="shared" si="4"/>
        <v>4600016204S/ PROTOCOLO</v>
      </c>
      <c r="B276" s="14" t="s">
        <v>35</v>
      </c>
      <c r="C276" s="14">
        <v>4600016204</v>
      </c>
      <c r="D276" s="14">
        <v>70</v>
      </c>
      <c r="E276" s="14">
        <v>4706703</v>
      </c>
      <c r="F276" s="14">
        <v>2450</v>
      </c>
      <c r="H276" s="14">
        <v>5210100009</v>
      </c>
      <c r="I276" s="14" t="s">
        <v>80</v>
      </c>
      <c r="J276" s="14" t="s">
        <v>79</v>
      </c>
      <c r="K276" s="15">
        <v>44692</v>
      </c>
      <c r="L276" s="16">
        <v>9.48</v>
      </c>
      <c r="M276" s="1" t="s">
        <v>107</v>
      </c>
      <c r="N276" s="3" t="s">
        <v>133</v>
      </c>
      <c r="O276" s="1" t="s">
        <v>69</v>
      </c>
    </row>
    <row r="277" spans="1:15" ht="17.100000000000001" customHeight="1" x14ac:dyDescent="0.3">
      <c r="A277" s="3" t="str">
        <f t="shared" si="4"/>
        <v>4600011223C/ PROTOCOLO</v>
      </c>
      <c r="B277" s="14" t="s">
        <v>35</v>
      </c>
      <c r="C277" s="14">
        <v>4600011223</v>
      </c>
      <c r="D277" s="14">
        <v>90</v>
      </c>
      <c r="E277" s="14">
        <v>4005226</v>
      </c>
      <c r="F277" s="14">
        <v>1030</v>
      </c>
      <c r="H277" s="14">
        <v>5210100008</v>
      </c>
      <c r="I277" s="14" t="s">
        <v>78</v>
      </c>
      <c r="J277" s="14" t="s">
        <v>79</v>
      </c>
      <c r="K277" s="15">
        <v>43773</v>
      </c>
      <c r="L277" s="16">
        <v>2.58</v>
      </c>
      <c r="M277" s="1" t="s">
        <v>49</v>
      </c>
      <c r="N277" s="3" t="s">
        <v>145</v>
      </c>
      <c r="O277" s="1" t="s">
        <v>70</v>
      </c>
    </row>
    <row r="278" spans="1:15" ht="17.100000000000001" customHeight="1" x14ac:dyDescent="0.3">
      <c r="A278" s="3" t="str">
        <f t="shared" si="4"/>
        <v>4600011228C/ PROTOCOLO</v>
      </c>
      <c r="B278" s="14" t="s">
        <v>35</v>
      </c>
      <c r="C278" s="14">
        <v>4600011228</v>
      </c>
      <c r="D278" s="14">
        <v>90</v>
      </c>
      <c r="E278" s="14">
        <v>4003616</v>
      </c>
      <c r="F278" s="14">
        <v>1030</v>
      </c>
      <c r="H278" s="14">
        <v>5210100008</v>
      </c>
      <c r="I278" s="14" t="s">
        <v>78</v>
      </c>
      <c r="J278" s="14" t="s">
        <v>79</v>
      </c>
      <c r="K278" s="15">
        <v>43773</v>
      </c>
      <c r="L278" s="16">
        <v>2.1</v>
      </c>
      <c r="M278" s="1" t="s">
        <v>48</v>
      </c>
      <c r="N278" s="3" t="s">
        <v>40</v>
      </c>
      <c r="O278" s="1" t="s">
        <v>70</v>
      </c>
    </row>
    <row r="279" spans="1:15" ht="17.100000000000001" customHeight="1" x14ac:dyDescent="0.3">
      <c r="A279" s="3" t="str">
        <f t="shared" si="4"/>
        <v>4600011228C/ PROTOCOLO</v>
      </c>
      <c r="B279" s="14" t="s">
        <v>35</v>
      </c>
      <c r="C279" s="14">
        <v>4600011228</v>
      </c>
      <c r="D279" s="14">
        <v>110</v>
      </c>
      <c r="E279" s="14">
        <v>4003616</v>
      </c>
      <c r="F279" s="14">
        <v>1090</v>
      </c>
      <c r="H279" s="14">
        <v>5210100008</v>
      </c>
      <c r="I279" s="14" t="s">
        <v>78</v>
      </c>
      <c r="J279" s="14" t="s">
        <v>79</v>
      </c>
      <c r="K279" s="15">
        <v>43773</v>
      </c>
      <c r="L279" s="16">
        <v>8.2899999999999991</v>
      </c>
      <c r="M279" s="1" t="s">
        <v>48</v>
      </c>
      <c r="N279" s="3" t="s">
        <v>40</v>
      </c>
      <c r="O279" s="1" t="s">
        <v>70</v>
      </c>
    </row>
    <row r="280" spans="1:15" ht="17.100000000000001" customHeight="1" x14ac:dyDescent="0.3">
      <c r="A280" s="3" t="str">
        <f t="shared" si="4"/>
        <v>4600011228S/ PROTOCOLO</v>
      </c>
      <c r="B280" s="14" t="s">
        <v>35</v>
      </c>
      <c r="C280" s="14">
        <v>4600011228</v>
      </c>
      <c r="D280" s="14">
        <v>110</v>
      </c>
      <c r="E280" s="14">
        <v>4003616</v>
      </c>
      <c r="F280" s="14">
        <v>1260</v>
      </c>
      <c r="H280" s="14">
        <v>5210100009</v>
      </c>
      <c r="I280" s="14" t="s">
        <v>80</v>
      </c>
      <c r="J280" s="14" t="s">
        <v>79</v>
      </c>
      <c r="K280" s="15">
        <v>43773</v>
      </c>
      <c r="L280" s="16">
        <v>4.51</v>
      </c>
      <c r="M280" s="1" t="s">
        <v>48</v>
      </c>
      <c r="N280" s="3" t="s">
        <v>40</v>
      </c>
      <c r="O280" s="1" t="s">
        <v>69</v>
      </c>
    </row>
    <row r="281" spans="1:15" ht="17.100000000000001" customHeight="1" x14ac:dyDescent="0.3">
      <c r="A281" s="3" t="str">
        <f t="shared" si="4"/>
        <v>4600011228C/ PROTOCOLO</v>
      </c>
      <c r="B281" s="14" t="s">
        <v>35</v>
      </c>
      <c r="C281" s="14">
        <v>4600011228</v>
      </c>
      <c r="D281" s="14">
        <v>130</v>
      </c>
      <c r="E281" s="14">
        <v>4003616</v>
      </c>
      <c r="F281" s="14">
        <v>1030</v>
      </c>
      <c r="H281" s="14">
        <v>5210100008</v>
      </c>
      <c r="I281" s="14" t="s">
        <v>78</v>
      </c>
      <c r="J281" s="14" t="s">
        <v>79</v>
      </c>
      <c r="K281" s="15">
        <v>43773</v>
      </c>
      <c r="L281" s="16">
        <v>2.1</v>
      </c>
      <c r="M281" s="1" t="s">
        <v>48</v>
      </c>
      <c r="N281" s="3" t="s">
        <v>40</v>
      </c>
      <c r="O281" s="1" t="s">
        <v>70</v>
      </c>
    </row>
    <row r="282" spans="1:15" ht="17.100000000000001" customHeight="1" x14ac:dyDescent="0.3">
      <c r="A282" s="3" t="str">
        <f t="shared" si="4"/>
        <v>4600024769S/ PROTOCOLO</v>
      </c>
      <c r="B282" s="14" t="s">
        <v>35</v>
      </c>
      <c r="C282" s="14">
        <v>4600024769</v>
      </c>
      <c r="D282" s="14">
        <v>150</v>
      </c>
      <c r="E282" s="14">
        <v>4005226</v>
      </c>
      <c r="F282" s="14">
        <v>2720</v>
      </c>
      <c r="H282" s="14">
        <v>5024000070</v>
      </c>
      <c r="I282" s="14" t="s">
        <v>75</v>
      </c>
      <c r="J282" s="14" t="s">
        <v>76</v>
      </c>
      <c r="K282" s="15">
        <v>45670</v>
      </c>
      <c r="L282" s="16">
        <v>6.45</v>
      </c>
      <c r="M282" s="1" t="s">
        <v>49</v>
      </c>
      <c r="N282" s="3" t="s">
        <v>145</v>
      </c>
      <c r="O282" s="1" t="s">
        <v>69</v>
      </c>
    </row>
    <row r="283" spans="1:15" ht="17.100000000000001" customHeight="1" x14ac:dyDescent="0.3">
      <c r="A283" s="3" t="str">
        <f t="shared" si="4"/>
        <v>4600024770S/ PROTOCOLO</v>
      </c>
      <c r="B283" s="14" t="s">
        <v>35</v>
      </c>
      <c r="C283" s="14">
        <v>4600024770</v>
      </c>
      <c r="D283" s="14">
        <v>150</v>
      </c>
      <c r="E283" s="14">
        <v>4005226</v>
      </c>
      <c r="F283" s="14">
        <v>2720</v>
      </c>
      <c r="H283" s="14">
        <v>5024000070</v>
      </c>
      <c r="I283" s="14" t="s">
        <v>75</v>
      </c>
      <c r="J283" s="14" t="s">
        <v>76</v>
      </c>
      <c r="K283" s="15">
        <v>45670</v>
      </c>
      <c r="L283" s="16">
        <v>6.72</v>
      </c>
      <c r="M283" s="1" t="s">
        <v>49</v>
      </c>
      <c r="N283" s="3" t="s">
        <v>145</v>
      </c>
      <c r="O283" s="1" t="s">
        <v>69</v>
      </c>
    </row>
    <row r="284" spans="1:15" ht="17.100000000000001" customHeight="1" x14ac:dyDescent="0.3">
      <c r="A284" s="3" t="str">
        <f t="shared" si="4"/>
        <v>4600024769C/ PROTOCOLO</v>
      </c>
      <c r="B284" s="14" t="s">
        <v>35</v>
      </c>
      <c r="C284" s="14">
        <v>4600024769</v>
      </c>
      <c r="D284" s="14">
        <v>150</v>
      </c>
      <c r="E284" s="14">
        <v>4005226</v>
      </c>
      <c r="F284" s="14">
        <v>2730</v>
      </c>
      <c r="H284" s="14">
        <v>5024000071</v>
      </c>
      <c r="I284" s="14" t="s">
        <v>77</v>
      </c>
      <c r="J284" s="14" t="s">
        <v>76</v>
      </c>
      <c r="K284" s="15">
        <v>45670</v>
      </c>
      <c r="L284" s="16">
        <v>7.55</v>
      </c>
      <c r="M284" s="1" t="s">
        <v>49</v>
      </c>
      <c r="N284" s="3" t="s">
        <v>145</v>
      </c>
      <c r="O284" s="1" t="s">
        <v>70</v>
      </c>
    </row>
    <row r="285" spans="1:15" ht="17.100000000000001" customHeight="1" x14ac:dyDescent="0.3">
      <c r="A285" s="3" t="str">
        <f t="shared" si="4"/>
        <v>4600024770C/ PROTOCOLO</v>
      </c>
      <c r="B285" s="14" t="s">
        <v>35</v>
      </c>
      <c r="C285" s="14">
        <v>4600024770</v>
      </c>
      <c r="D285" s="14">
        <v>150</v>
      </c>
      <c r="E285" s="14">
        <v>4005226</v>
      </c>
      <c r="F285" s="14">
        <v>2730</v>
      </c>
      <c r="H285" s="14">
        <v>5024000071</v>
      </c>
      <c r="I285" s="14" t="s">
        <v>77</v>
      </c>
      <c r="J285" s="14" t="s">
        <v>76</v>
      </c>
      <c r="K285" s="15">
        <v>45670</v>
      </c>
      <c r="L285" s="16">
        <v>7.86</v>
      </c>
      <c r="M285" s="1" t="s">
        <v>49</v>
      </c>
      <c r="N285" s="3" t="s">
        <v>145</v>
      </c>
      <c r="O285" s="1" t="s">
        <v>70</v>
      </c>
    </row>
    <row r="286" spans="1:15" ht="17.100000000000001" customHeight="1" x14ac:dyDescent="0.3">
      <c r="A286" s="3" t="str">
        <f t="shared" si="4"/>
        <v>4600011223C/ PROTOCOLO</v>
      </c>
      <c r="B286" s="14" t="s">
        <v>35</v>
      </c>
      <c r="C286" s="14">
        <v>4600011223</v>
      </c>
      <c r="D286" s="14">
        <v>230</v>
      </c>
      <c r="E286" s="14">
        <v>4005226</v>
      </c>
      <c r="F286" s="14">
        <v>1030</v>
      </c>
      <c r="H286" s="14">
        <v>5210100008</v>
      </c>
      <c r="I286" s="14" t="s">
        <v>78</v>
      </c>
      <c r="J286" s="14" t="s">
        <v>79</v>
      </c>
      <c r="K286" s="15">
        <v>43773</v>
      </c>
      <c r="L286" s="16">
        <v>2.58</v>
      </c>
      <c r="M286" s="1" t="s">
        <v>49</v>
      </c>
      <c r="N286" s="3" t="s">
        <v>145</v>
      </c>
      <c r="O286" s="1" t="s">
        <v>70</v>
      </c>
    </row>
    <row r="287" spans="1:15" ht="17.100000000000001" customHeight="1" x14ac:dyDescent="0.3">
      <c r="A287" s="3" t="str">
        <f t="shared" si="4"/>
        <v>4600011223C/ PROTOCOLO</v>
      </c>
      <c r="B287" s="14" t="s">
        <v>35</v>
      </c>
      <c r="C287" s="14">
        <v>4600011223</v>
      </c>
      <c r="D287" s="14">
        <v>240</v>
      </c>
      <c r="E287" s="14">
        <v>4005226</v>
      </c>
      <c r="F287" s="14">
        <v>1230</v>
      </c>
      <c r="H287" s="14">
        <v>5210100008</v>
      </c>
      <c r="I287" s="14" t="s">
        <v>78</v>
      </c>
      <c r="J287" s="14" t="s">
        <v>79</v>
      </c>
      <c r="K287" s="15">
        <v>43773</v>
      </c>
      <c r="L287" s="16">
        <v>8.18</v>
      </c>
      <c r="M287" s="1" t="s">
        <v>49</v>
      </c>
      <c r="N287" s="3" t="s">
        <v>145</v>
      </c>
      <c r="O287" s="1" t="s">
        <v>70</v>
      </c>
    </row>
    <row r="288" spans="1:15" ht="17.100000000000001" customHeight="1" x14ac:dyDescent="0.3">
      <c r="A288" s="3" t="str">
        <f t="shared" si="4"/>
        <v>4600011223S/ PROTOCOLO</v>
      </c>
      <c r="B288" s="14" t="s">
        <v>35</v>
      </c>
      <c r="C288" s="14">
        <v>4600011223</v>
      </c>
      <c r="D288" s="14">
        <v>240</v>
      </c>
      <c r="E288" s="14">
        <v>4005226</v>
      </c>
      <c r="F288" s="14">
        <v>1410</v>
      </c>
      <c r="H288" s="14">
        <v>5210100009</v>
      </c>
      <c r="I288" s="14" t="s">
        <v>80</v>
      </c>
      <c r="J288" s="14" t="s">
        <v>79</v>
      </c>
      <c r="K288" s="15">
        <v>43773</v>
      </c>
      <c r="L288" s="16">
        <v>2.95</v>
      </c>
      <c r="M288" s="1" t="s">
        <v>49</v>
      </c>
      <c r="N288" s="3" t="s">
        <v>145</v>
      </c>
      <c r="O288" s="1" t="s">
        <v>69</v>
      </c>
    </row>
    <row r="289" spans="1:15" ht="17.100000000000001" customHeight="1" x14ac:dyDescent="0.3">
      <c r="A289" s="3" t="str">
        <f t="shared" si="4"/>
        <v>4600025366S/ PROTOCOLO</v>
      </c>
      <c r="B289" s="14" t="s">
        <v>36</v>
      </c>
      <c r="C289" s="14">
        <v>4600025366</v>
      </c>
      <c r="D289" s="14">
        <v>10</v>
      </c>
      <c r="E289" s="14">
        <v>4004732</v>
      </c>
      <c r="F289" s="14">
        <v>2720</v>
      </c>
      <c r="H289" s="14">
        <v>5024000070</v>
      </c>
      <c r="I289" s="14" t="s">
        <v>75</v>
      </c>
      <c r="J289" s="14" t="s">
        <v>76</v>
      </c>
      <c r="K289" s="15">
        <v>45706</v>
      </c>
      <c r="L289" s="16">
        <v>3.44</v>
      </c>
      <c r="M289" s="1" t="s">
        <v>112</v>
      </c>
      <c r="N289" s="3" t="s">
        <v>121</v>
      </c>
      <c r="O289" s="1" t="s">
        <v>69</v>
      </c>
    </row>
    <row r="290" spans="1:15" ht="17.100000000000001" customHeight="1" x14ac:dyDescent="0.3">
      <c r="A290" s="3" t="str">
        <f t="shared" si="4"/>
        <v>4600025366C/ PROTOCOLO</v>
      </c>
      <c r="B290" s="14" t="s">
        <v>36</v>
      </c>
      <c r="C290" s="14">
        <v>4600025366</v>
      </c>
      <c r="D290" s="14">
        <v>10</v>
      </c>
      <c r="E290" s="14">
        <v>4004732</v>
      </c>
      <c r="F290" s="14">
        <v>2730</v>
      </c>
      <c r="H290" s="14">
        <v>5024000071</v>
      </c>
      <c r="I290" s="14" t="s">
        <v>77</v>
      </c>
      <c r="J290" s="14" t="s">
        <v>76</v>
      </c>
      <c r="K290" s="15">
        <v>45706</v>
      </c>
      <c r="L290" s="16">
        <v>4.03</v>
      </c>
      <c r="M290" s="1" t="s">
        <v>112</v>
      </c>
      <c r="N290" s="3" t="s">
        <v>121</v>
      </c>
      <c r="O290" s="1" t="s">
        <v>70</v>
      </c>
    </row>
    <row r="291" spans="1:15" ht="17.100000000000001" customHeight="1" x14ac:dyDescent="0.3">
      <c r="A291" s="3" t="str">
        <f t="shared" si="4"/>
        <v>4600025366S/ PROTOCOLO</v>
      </c>
      <c r="B291" s="14" t="s">
        <v>36</v>
      </c>
      <c r="C291" s="14">
        <v>4600025366</v>
      </c>
      <c r="D291" s="14">
        <v>20</v>
      </c>
      <c r="E291" s="14">
        <v>4004732</v>
      </c>
      <c r="F291" s="14">
        <v>2720</v>
      </c>
      <c r="H291" s="14">
        <v>5024000070</v>
      </c>
      <c r="I291" s="14" t="s">
        <v>75</v>
      </c>
      <c r="J291" s="14" t="s">
        <v>76</v>
      </c>
      <c r="K291" s="15">
        <v>45706</v>
      </c>
      <c r="L291" s="16">
        <v>3.44</v>
      </c>
      <c r="M291" s="1" t="s">
        <v>112</v>
      </c>
      <c r="N291" s="3" t="s">
        <v>121</v>
      </c>
      <c r="O291" s="1" t="s">
        <v>69</v>
      </c>
    </row>
    <row r="292" spans="1:15" ht="17.100000000000001" customHeight="1" x14ac:dyDescent="0.3">
      <c r="A292" s="3" t="str">
        <f t="shared" si="4"/>
        <v>4600025366C/ PROTOCOLO</v>
      </c>
      <c r="B292" s="14" t="s">
        <v>36</v>
      </c>
      <c r="C292" s="14">
        <v>4600025366</v>
      </c>
      <c r="D292" s="14">
        <v>20</v>
      </c>
      <c r="E292" s="14">
        <v>4004732</v>
      </c>
      <c r="F292" s="14">
        <v>2730</v>
      </c>
      <c r="H292" s="14">
        <v>5024000071</v>
      </c>
      <c r="I292" s="14" t="s">
        <v>77</v>
      </c>
      <c r="J292" s="14" t="s">
        <v>76</v>
      </c>
      <c r="K292" s="15">
        <v>45706</v>
      </c>
      <c r="L292" s="16">
        <v>4.03</v>
      </c>
      <c r="M292" s="1" t="s">
        <v>112</v>
      </c>
      <c r="N292" s="3" t="s">
        <v>121</v>
      </c>
      <c r="O292" s="1" t="s">
        <v>70</v>
      </c>
    </row>
    <row r="293" spans="1:15" ht="17.100000000000001" customHeight="1" x14ac:dyDescent="0.3">
      <c r="A293" s="3" t="str">
        <f t="shared" si="4"/>
        <v>4600026661S/ PROTOCOLO</v>
      </c>
      <c r="B293" s="14" t="s">
        <v>33</v>
      </c>
      <c r="C293" s="14">
        <v>4600026661</v>
      </c>
      <c r="D293" s="14">
        <v>20</v>
      </c>
      <c r="E293" s="14">
        <v>4703020</v>
      </c>
      <c r="F293" s="14">
        <v>2550</v>
      </c>
      <c r="H293" s="14">
        <v>5024000070</v>
      </c>
      <c r="I293" s="14" t="s">
        <v>75</v>
      </c>
      <c r="J293" s="14" t="s">
        <v>76</v>
      </c>
      <c r="K293" s="15">
        <v>45838</v>
      </c>
      <c r="L293" s="16">
        <v>6.74</v>
      </c>
      <c r="M293" s="3" t="s">
        <v>54</v>
      </c>
      <c r="N293" s="3" t="s">
        <v>143</v>
      </c>
      <c r="O293" s="1" t="s">
        <v>69</v>
      </c>
    </row>
    <row r="294" spans="1:15" ht="17.100000000000001" customHeight="1" x14ac:dyDescent="0.3">
      <c r="A294" s="3" t="str">
        <f t="shared" si="4"/>
        <v>4600026661C/ PROTOCOLO</v>
      </c>
      <c r="B294" s="14" t="s">
        <v>33</v>
      </c>
      <c r="C294" s="14">
        <v>4600026661</v>
      </c>
      <c r="D294" s="14">
        <v>20</v>
      </c>
      <c r="E294" s="14">
        <v>4703020</v>
      </c>
      <c r="F294" s="14">
        <v>2560</v>
      </c>
      <c r="H294" s="14">
        <v>5024000071</v>
      </c>
      <c r="I294" s="14" t="s">
        <v>77</v>
      </c>
      <c r="J294" s="14" t="s">
        <v>76</v>
      </c>
      <c r="K294" s="15">
        <v>45838</v>
      </c>
      <c r="L294" s="16">
        <v>7.89</v>
      </c>
      <c r="M294" s="3" t="s">
        <v>54</v>
      </c>
      <c r="N294" s="3" t="s">
        <v>143</v>
      </c>
      <c r="O294" s="1" t="s">
        <v>70</v>
      </c>
    </row>
    <row r="576" spans="1:1" ht="17.100000000000001" customHeight="1" x14ac:dyDescent="0.3">
      <c r="A576" s="17"/>
    </row>
    <row r="868" spans="1:1" ht="17.100000000000001" customHeight="1" x14ac:dyDescent="0.3">
      <c r="A868" s="17"/>
    </row>
    <row r="1160" spans="1:1" ht="17.100000000000001" customHeight="1" x14ac:dyDescent="0.3">
      <c r="A1160" s="17"/>
    </row>
    <row r="1452" spans="1:1" ht="17.100000000000001" customHeight="1" x14ac:dyDescent="0.3">
      <c r="A1452" s="17"/>
    </row>
    <row r="1744" spans="1:1" ht="17.100000000000001" customHeight="1" x14ac:dyDescent="0.3">
      <c r="A1744" s="17"/>
    </row>
    <row r="2036" spans="1:1" ht="17.100000000000001" customHeight="1" x14ac:dyDescent="0.3">
      <c r="A2036" s="17"/>
    </row>
    <row r="2328" spans="1:1" ht="17.100000000000001" customHeight="1" x14ac:dyDescent="0.3">
      <c r="A2328" s="17"/>
    </row>
    <row r="2620" spans="1:1" ht="17.100000000000001" customHeight="1" x14ac:dyDescent="0.3">
      <c r="A2620" s="17"/>
    </row>
    <row r="2912" spans="1:1" ht="17.100000000000001" customHeight="1" x14ac:dyDescent="0.3">
      <c r="A2912" s="17"/>
    </row>
    <row r="3204" spans="1:1" ht="17.100000000000001" customHeight="1" x14ac:dyDescent="0.3">
      <c r="A3204" s="17"/>
    </row>
    <row r="3496" spans="1:1" ht="17.100000000000001" customHeight="1" x14ac:dyDescent="0.3">
      <c r="A3496" s="17"/>
    </row>
    <row r="3788" spans="1:1" ht="17.100000000000001" customHeight="1" x14ac:dyDescent="0.3">
      <c r="A3788" s="17"/>
    </row>
    <row r="4080" spans="1:1" ht="17.100000000000001" customHeight="1" x14ac:dyDescent="0.3">
      <c r="A4080" s="17"/>
    </row>
    <row r="4372" spans="1:1" ht="17.100000000000001" customHeight="1" x14ac:dyDescent="0.3">
      <c r="A4372" s="17"/>
    </row>
    <row r="4664" spans="1:1" ht="17.100000000000001" customHeight="1" x14ac:dyDescent="0.3">
      <c r="A4664" s="17"/>
    </row>
    <row r="4956" spans="1:1" ht="17.100000000000001" customHeight="1" x14ac:dyDescent="0.3">
      <c r="A4956" s="17"/>
    </row>
    <row r="5248" spans="1:1" ht="17.100000000000001" customHeight="1" x14ac:dyDescent="0.3">
      <c r="A5248" s="17"/>
    </row>
    <row r="5540" spans="1:1" ht="17.100000000000001" customHeight="1" x14ac:dyDescent="0.3">
      <c r="A5540" s="17"/>
    </row>
    <row r="5832" spans="1:1" ht="17.100000000000001" customHeight="1" x14ac:dyDescent="0.3">
      <c r="A5832" s="17"/>
    </row>
    <row r="6124" spans="1:1" ht="17.100000000000001" customHeight="1" x14ac:dyDescent="0.3">
      <c r="A6124" s="17"/>
    </row>
    <row r="6416" spans="1:1" ht="17.100000000000001" customHeight="1" x14ac:dyDescent="0.3">
      <c r="A6416" s="17"/>
    </row>
    <row r="6708" spans="1:1" ht="17.100000000000001" customHeight="1" x14ac:dyDescent="0.3">
      <c r="A6708" s="17"/>
    </row>
    <row r="7000" spans="1:1" ht="17.100000000000001" customHeight="1" x14ac:dyDescent="0.3">
      <c r="A7000" s="17"/>
    </row>
    <row r="7292" spans="1:1" ht="17.100000000000001" customHeight="1" x14ac:dyDescent="0.3">
      <c r="A7292" s="17"/>
    </row>
    <row r="7584" spans="1:1" ht="17.100000000000001" customHeight="1" x14ac:dyDescent="0.3">
      <c r="A7584" s="17"/>
    </row>
    <row r="7876" spans="1:1" ht="17.100000000000001" customHeight="1" x14ac:dyDescent="0.3">
      <c r="A7876" s="17"/>
    </row>
    <row r="8168" spans="1:1" ht="17.100000000000001" customHeight="1" x14ac:dyDescent="0.3">
      <c r="A8168" s="17"/>
    </row>
    <row r="8460" spans="1:1" ht="17.100000000000001" customHeight="1" x14ac:dyDescent="0.3">
      <c r="A8460" s="17"/>
    </row>
    <row r="8752" spans="1:1" ht="17.100000000000001" customHeight="1" x14ac:dyDescent="0.3">
      <c r="A8752" s="17"/>
    </row>
    <row r="9044" spans="1:1" ht="17.100000000000001" customHeight="1" x14ac:dyDescent="0.3">
      <c r="A9044" s="17"/>
    </row>
    <row r="9336" spans="1:1" ht="17.100000000000001" customHeight="1" x14ac:dyDescent="0.3">
      <c r="A9336" s="17"/>
    </row>
    <row r="9628" spans="1:1" ht="17.100000000000001" customHeight="1" x14ac:dyDescent="0.3">
      <c r="A9628" s="17"/>
    </row>
    <row r="9920" spans="1:1" ht="17.100000000000001" customHeight="1" x14ac:dyDescent="0.3">
      <c r="A9920" s="17"/>
    </row>
    <row r="10212" spans="1:1" ht="17.100000000000001" customHeight="1" x14ac:dyDescent="0.3">
      <c r="A10212" s="17"/>
    </row>
    <row r="10504" spans="1:1" ht="17.100000000000001" customHeight="1" x14ac:dyDescent="0.3">
      <c r="A10504" s="17"/>
    </row>
    <row r="10796" spans="1:1" ht="17.100000000000001" customHeight="1" x14ac:dyDescent="0.3">
      <c r="A10796" s="17"/>
    </row>
    <row r="11088" spans="1:1" ht="17.100000000000001" customHeight="1" x14ac:dyDescent="0.3">
      <c r="A11088" s="17"/>
    </row>
    <row r="11380" spans="1:1" ht="17.100000000000001" customHeight="1" x14ac:dyDescent="0.3">
      <c r="A11380" s="17"/>
    </row>
    <row r="11672" spans="1:1" ht="17.100000000000001" customHeight="1" x14ac:dyDescent="0.3">
      <c r="A11672" s="17"/>
    </row>
    <row r="11964" spans="1:1" ht="17.100000000000001" customHeight="1" x14ac:dyDescent="0.3">
      <c r="A11964" s="17"/>
    </row>
    <row r="12256" spans="1:1" ht="17.100000000000001" customHeight="1" x14ac:dyDescent="0.3">
      <c r="A12256" s="17"/>
    </row>
    <row r="12548" spans="1:1" ht="17.100000000000001" customHeight="1" x14ac:dyDescent="0.3">
      <c r="A12548" s="17"/>
    </row>
    <row r="12840" spans="1:1" ht="17.100000000000001" customHeight="1" x14ac:dyDescent="0.3">
      <c r="A12840" s="17"/>
    </row>
    <row r="13132" spans="1:1" ht="17.100000000000001" customHeight="1" x14ac:dyDescent="0.3">
      <c r="A13132" s="17"/>
    </row>
    <row r="13424" spans="1:1" ht="17.100000000000001" customHeight="1" x14ac:dyDescent="0.3">
      <c r="A13424" s="17"/>
    </row>
    <row r="13716" spans="1:1" ht="17.100000000000001" customHeight="1" x14ac:dyDescent="0.3">
      <c r="A13716" s="17"/>
    </row>
    <row r="14008" spans="1:1" ht="17.100000000000001" customHeight="1" x14ac:dyDescent="0.3">
      <c r="A14008" s="17"/>
    </row>
    <row r="14300" spans="1:1" ht="17.100000000000001" customHeight="1" x14ac:dyDescent="0.3">
      <c r="A14300" s="17"/>
    </row>
    <row r="14592" spans="1:1" ht="17.100000000000001" customHeight="1" x14ac:dyDescent="0.3">
      <c r="A14592" s="17"/>
    </row>
    <row r="14884" spans="1:1" ht="17.100000000000001" customHeight="1" x14ac:dyDescent="0.3">
      <c r="A14884" s="17"/>
    </row>
    <row r="15176" spans="1:1" ht="17.100000000000001" customHeight="1" x14ac:dyDescent="0.3">
      <c r="A15176" s="17"/>
    </row>
    <row r="15468" spans="1:1" ht="17.100000000000001" customHeight="1" x14ac:dyDescent="0.3">
      <c r="A15468" s="17"/>
    </row>
    <row r="15760" spans="1:1" ht="17.100000000000001" customHeight="1" x14ac:dyDescent="0.3">
      <c r="A15760" s="17"/>
    </row>
    <row r="16052" spans="1:1" ht="17.100000000000001" customHeight="1" x14ac:dyDescent="0.3">
      <c r="A16052" s="17"/>
    </row>
    <row r="16344" spans="1:1" ht="17.100000000000001" customHeight="1" x14ac:dyDescent="0.3">
      <c r="A16344" s="17"/>
    </row>
    <row r="16636" spans="1:1" ht="17.100000000000001" customHeight="1" x14ac:dyDescent="0.3">
      <c r="A16636" s="17"/>
    </row>
    <row r="16928" spans="1:1" ht="17.100000000000001" customHeight="1" x14ac:dyDescent="0.3">
      <c r="A16928" s="17"/>
    </row>
    <row r="17220" spans="1:1" ht="17.100000000000001" customHeight="1" x14ac:dyDescent="0.3">
      <c r="A17220" s="17"/>
    </row>
    <row r="17512" spans="1:1" ht="17.100000000000001" customHeight="1" x14ac:dyDescent="0.3">
      <c r="A17512" s="17"/>
    </row>
    <row r="17804" spans="1:1" ht="17.100000000000001" customHeight="1" x14ac:dyDescent="0.3">
      <c r="A17804" s="17"/>
    </row>
    <row r="18096" spans="1:1" ht="17.100000000000001" customHeight="1" x14ac:dyDescent="0.3">
      <c r="A18096" s="17"/>
    </row>
    <row r="18388" spans="1:1" ht="17.100000000000001" customHeight="1" x14ac:dyDescent="0.3">
      <c r="A18388" s="17"/>
    </row>
    <row r="18680" spans="1:1" ht="17.100000000000001" customHeight="1" x14ac:dyDescent="0.3">
      <c r="A18680" s="17"/>
    </row>
    <row r="18972" spans="1:1" ht="17.100000000000001" customHeight="1" x14ac:dyDescent="0.3">
      <c r="A18972" s="17"/>
    </row>
    <row r="19264" spans="1:1" ht="17.100000000000001" customHeight="1" x14ac:dyDescent="0.3">
      <c r="A19264" s="17"/>
    </row>
    <row r="19556" spans="1:1" ht="17.100000000000001" customHeight="1" x14ac:dyDescent="0.3">
      <c r="A19556" s="17"/>
    </row>
    <row r="19848" spans="1:1" ht="17.100000000000001" customHeight="1" x14ac:dyDescent="0.3">
      <c r="A19848" s="17"/>
    </row>
    <row r="20140" spans="1:1" ht="17.100000000000001" customHeight="1" x14ac:dyDescent="0.3">
      <c r="A20140" s="17"/>
    </row>
    <row r="20432" spans="1:1" ht="17.100000000000001" customHeight="1" x14ac:dyDescent="0.3">
      <c r="A20432" s="17"/>
    </row>
    <row r="20724" spans="1:1" ht="17.100000000000001" customHeight="1" x14ac:dyDescent="0.3">
      <c r="A20724" s="17"/>
    </row>
    <row r="21016" spans="1:1" ht="17.100000000000001" customHeight="1" x14ac:dyDescent="0.3">
      <c r="A21016" s="17"/>
    </row>
    <row r="21308" spans="1:1" ht="17.100000000000001" customHeight="1" x14ac:dyDescent="0.3">
      <c r="A21308" s="17"/>
    </row>
    <row r="21600" spans="1:1" ht="17.100000000000001" customHeight="1" x14ac:dyDescent="0.3">
      <c r="A21600" s="17"/>
    </row>
    <row r="21892" spans="1:1" ht="17.100000000000001" customHeight="1" x14ac:dyDescent="0.3">
      <c r="A21892" s="17"/>
    </row>
    <row r="22184" spans="1:1" ht="17.100000000000001" customHeight="1" x14ac:dyDescent="0.3">
      <c r="A22184" s="17"/>
    </row>
    <row r="22476" spans="1:1" ht="17.100000000000001" customHeight="1" x14ac:dyDescent="0.3">
      <c r="A22476" s="17"/>
    </row>
    <row r="22768" spans="1:1" ht="17.100000000000001" customHeight="1" x14ac:dyDescent="0.3">
      <c r="A22768" s="17"/>
    </row>
    <row r="23060" spans="1:1" ht="17.100000000000001" customHeight="1" x14ac:dyDescent="0.3">
      <c r="A23060" s="17"/>
    </row>
    <row r="23352" spans="1:1" ht="17.100000000000001" customHeight="1" x14ac:dyDescent="0.3">
      <c r="A23352" s="17"/>
    </row>
    <row r="23644" spans="1:1" ht="17.100000000000001" customHeight="1" x14ac:dyDescent="0.3">
      <c r="A23644" s="17"/>
    </row>
    <row r="23936" spans="1:1" ht="17.100000000000001" customHeight="1" x14ac:dyDescent="0.3">
      <c r="A23936" s="17"/>
    </row>
    <row r="24228" spans="1:1" ht="17.100000000000001" customHeight="1" x14ac:dyDescent="0.3">
      <c r="A24228" s="17"/>
    </row>
    <row r="24520" spans="1:1" ht="17.100000000000001" customHeight="1" x14ac:dyDescent="0.3">
      <c r="A24520" s="17"/>
    </row>
    <row r="24812" spans="1:1" ht="17.100000000000001" customHeight="1" x14ac:dyDescent="0.3">
      <c r="A24812" s="17"/>
    </row>
    <row r="25104" spans="1:1" ht="17.100000000000001" customHeight="1" x14ac:dyDescent="0.3">
      <c r="A25104" s="17"/>
    </row>
    <row r="25396" spans="1:1" ht="17.100000000000001" customHeight="1" x14ac:dyDescent="0.3">
      <c r="A25396" s="17"/>
    </row>
    <row r="25688" spans="1:1" ht="17.100000000000001" customHeight="1" x14ac:dyDescent="0.3">
      <c r="A25688" s="17"/>
    </row>
    <row r="25980" spans="1:1" ht="17.100000000000001" customHeight="1" x14ac:dyDescent="0.3">
      <c r="A25980" s="17"/>
    </row>
    <row r="26272" spans="1:1" ht="17.100000000000001" customHeight="1" x14ac:dyDescent="0.3">
      <c r="A26272" s="17"/>
    </row>
    <row r="26564" spans="1:1" ht="17.100000000000001" customHeight="1" x14ac:dyDescent="0.3">
      <c r="A26564" s="17"/>
    </row>
    <row r="26856" spans="1:1" ht="17.100000000000001" customHeight="1" x14ac:dyDescent="0.3">
      <c r="A26856" s="17"/>
    </row>
    <row r="27148" spans="1:1" ht="17.100000000000001" customHeight="1" x14ac:dyDescent="0.3">
      <c r="A27148" s="17"/>
    </row>
    <row r="27440" spans="1:1" ht="17.100000000000001" customHeight="1" x14ac:dyDescent="0.3">
      <c r="A27440" s="17"/>
    </row>
    <row r="27732" spans="1:1" ht="17.100000000000001" customHeight="1" x14ac:dyDescent="0.3">
      <c r="A27732" s="17"/>
    </row>
    <row r="28024" spans="1:1" ht="17.100000000000001" customHeight="1" x14ac:dyDescent="0.3">
      <c r="A28024" s="17"/>
    </row>
    <row r="28316" spans="1:1" ht="17.100000000000001" customHeight="1" x14ac:dyDescent="0.3">
      <c r="A28316" s="17"/>
    </row>
    <row r="28608" spans="1:1" ht="17.100000000000001" customHeight="1" x14ac:dyDescent="0.3">
      <c r="A28608" s="17"/>
    </row>
    <row r="28900" spans="1:1" ht="17.100000000000001" customHeight="1" x14ac:dyDescent="0.3">
      <c r="A28900" s="17"/>
    </row>
    <row r="29192" spans="1:1" ht="17.100000000000001" customHeight="1" x14ac:dyDescent="0.3">
      <c r="A29192" s="17"/>
    </row>
    <row r="29484" spans="1:1" ht="17.100000000000001" customHeight="1" x14ac:dyDescent="0.3">
      <c r="A29484" s="17"/>
    </row>
    <row r="29776" spans="1:1" ht="17.100000000000001" customHeight="1" x14ac:dyDescent="0.3">
      <c r="A29776" s="17"/>
    </row>
    <row r="30068" spans="1:1" ht="17.100000000000001" customHeight="1" x14ac:dyDescent="0.3">
      <c r="A30068" s="17"/>
    </row>
    <row r="30360" spans="1:1" ht="17.100000000000001" customHeight="1" x14ac:dyDescent="0.3">
      <c r="A30360" s="17"/>
    </row>
    <row r="30652" spans="1:1" ht="17.100000000000001" customHeight="1" x14ac:dyDescent="0.3">
      <c r="A30652" s="17"/>
    </row>
    <row r="30944" spans="1:1" ht="17.100000000000001" customHeight="1" x14ac:dyDescent="0.3">
      <c r="A30944" s="17"/>
    </row>
    <row r="31236" spans="1:1" ht="17.100000000000001" customHeight="1" x14ac:dyDescent="0.3">
      <c r="A31236" s="17"/>
    </row>
    <row r="31528" spans="1:1" ht="17.100000000000001" customHeight="1" x14ac:dyDescent="0.3">
      <c r="A31528" s="17"/>
    </row>
    <row r="31820" spans="1:1" ht="17.100000000000001" customHeight="1" x14ac:dyDescent="0.3">
      <c r="A31820" s="17"/>
    </row>
    <row r="32112" spans="1:1" ht="17.100000000000001" customHeight="1" x14ac:dyDescent="0.3">
      <c r="A32112" s="17"/>
    </row>
    <row r="32404" spans="1:1" ht="17.100000000000001" customHeight="1" x14ac:dyDescent="0.3">
      <c r="A32404" s="17"/>
    </row>
    <row r="32696" spans="1:1" ht="17.100000000000001" customHeight="1" x14ac:dyDescent="0.3">
      <c r="A32696" s="17"/>
    </row>
    <row r="32988" spans="1:1" ht="17.100000000000001" customHeight="1" x14ac:dyDescent="0.3">
      <c r="A32988" s="17"/>
    </row>
    <row r="33280" spans="1:1" ht="17.100000000000001" customHeight="1" x14ac:dyDescent="0.3">
      <c r="A33280" s="17"/>
    </row>
    <row r="33572" spans="1:1" ht="17.100000000000001" customHeight="1" x14ac:dyDescent="0.3">
      <c r="A33572" s="17"/>
    </row>
    <row r="33864" spans="1:1" ht="17.100000000000001" customHeight="1" x14ac:dyDescent="0.3">
      <c r="A33864" s="17"/>
    </row>
    <row r="34156" spans="1:1" ht="17.100000000000001" customHeight="1" x14ac:dyDescent="0.3">
      <c r="A34156" s="17"/>
    </row>
    <row r="34448" spans="1:1" ht="17.100000000000001" customHeight="1" x14ac:dyDescent="0.3">
      <c r="A34448" s="17"/>
    </row>
    <row r="34740" spans="1:1" ht="17.100000000000001" customHeight="1" x14ac:dyDescent="0.3">
      <c r="A34740" s="17"/>
    </row>
    <row r="35032" spans="1:1" ht="17.100000000000001" customHeight="1" x14ac:dyDescent="0.3">
      <c r="A35032" s="17"/>
    </row>
    <row r="35324" spans="1:1" ht="17.100000000000001" customHeight="1" x14ac:dyDescent="0.3">
      <c r="A35324" s="17"/>
    </row>
    <row r="35616" spans="1:1" ht="17.100000000000001" customHeight="1" x14ac:dyDescent="0.3">
      <c r="A35616" s="17"/>
    </row>
    <row r="35908" spans="1:1" ht="17.100000000000001" customHeight="1" x14ac:dyDescent="0.3">
      <c r="A35908" s="17"/>
    </row>
    <row r="36200" spans="1:1" ht="17.100000000000001" customHeight="1" x14ac:dyDescent="0.3">
      <c r="A36200" s="17"/>
    </row>
    <row r="36492" spans="1:1" ht="17.100000000000001" customHeight="1" x14ac:dyDescent="0.3">
      <c r="A36492" s="17"/>
    </row>
    <row r="36784" spans="1:1" ht="17.100000000000001" customHeight="1" x14ac:dyDescent="0.3">
      <c r="A36784" s="17"/>
    </row>
    <row r="37076" spans="1:1" ht="17.100000000000001" customHeight="1" x14ac:dyDescent="0.3">
      <c r="A37076" s="17"/>
    </row>
    <row r="37368" spans="1:1" ht="17.100000000000001" customHeight="1" x14ac:dyDescent="0.3">
      <c r="A37368" s="17"/>
    </row>
    <row r="37660" spans="1:1" ht="17.100000000000001" customHeight="1" x14ac:dyDescent="0.3">
      <c r="A37660" s="17"/>
    </row>
    <row r="37952" spans="1:1" ht="17.100000000000001" customHeight="1" x14ac:dyDescent="0.3">
      <c r="A37952" s="17"/>
    </row>
    <row r="38244" spans="1:1" ht="17.100000000000001" customHeight="1" x14ac:dyDescent="0.3">
      <c r="A38244" s="17"/>
    </row>
    <row r="38536" spans="1:1" ht="17.100000000000001" customHeight="1" x14ac:dyDescent="0.3">
      <c r="A38536" s="17"/>
    </row>
    <row r="38828" spans="1:1" ht="17.100000000000001" customHeight="1" x14ac:dyDescent="0.3">
      <c r="A38828" s="17"/>
    </row>
    <row r="39120" spans="1:1" ht="17.100000000000001" customHeight="1" x14ac:dyDescent="0.3">
      <c r="A39120" s="17"/>
    </row>
    <row r="39412" spans="1:1" ht="17.100000000000001" customHeight="1" x14ac:dyDescent="0.3">
      <c r="A39412" s="17"/>
    </row>
    <row r="39704" spans="1:1" ht="17.100000000000001" customHeight="1" x14ac:dyDescent="0.3">
      <c r="A39704" s="17"/>
    </row>
    <row r="39996" spans="1:1" ht="17.100000000000001" customHeight="1" x14ac:dyDescent="0.3">
      <c r="A39996" s="17"/>
    </row>
    <row r="40288" spans="1:1" ht="17.100000000000001" customHeight="1" x14ac:dyDescent="0.3">
      <c r="A40288" s="17"/>
    </row>
    <row r="40580" spans="1:1" ht="17.100000000000001" customHeight="1" x14ac:dyDescent="0.3">
      <c r="A40580" s="17"/>
    </row>
    <row r="40872" spans="1:1" ht="17.100000000000001" customHeight="1" x14ac:dyDescent="0.3">
      <c r="A40872" s="17"/>
    </row>
    <row r="41164" spans="1:1" ht="17.100000000000001" customHeight="1" x14ac:dyDescent="0.3">
      <c r="A41164" s="17"/>
    </row>
    <row r="41456" spans="1:1" ht="17.100000000000001" customHeight="1" x14ac:dyDescent="0.3">
      <c r="A41456" s="17"/>
    </row>
    <row r="41748" spans="1:1" ht="17.100000000000001" customHeight="1" x14ac:dyDescent="0.3">
      <c r="A41748" s="17"/>
    </row>
    <row r="42040" spans="1:1" ht="17.100000000000001" customHeight="1" x14ac:dyDescent="0.3">
      <c r="A42040" s="17"/>
    </row>
    <row r="42332" spans="1:1" ht="17.100000000000001" customHeight="1" x14ac:dyDescent="0.3">
      <c r="A42332" s="17"/>
    </row>
    <row r="42624" spans="1:1" ht="17.100000000000001" customHeight="1" x14ac:dyDescent="0.3">
      <c r="A42624" s="17"/>
    </row>
    <row r="42916" spans="1:1" ht="17.100000000000001" customHeight="1" x14ac:dyDescent="0.3">
      <c r="A42916" s="17"/>
    </row>
    <row r="43208" spans="1:1" ht="17.100000000000001" customHeight="1" x14ac:dyDescent="0.3">
      <c r="A43208" s="17"/>
    </row>
    <row r="43500" spans="1:1" ht="17.100000000000001" customHeight="1" x14ac:dyDescent="0.3">
      <c r="A43500" s="17"/>
    </row>
    <row r="43792" spans="1:1" ht="17.100000000000001" customHeight="1" x14ac:dyDescent="0.3">
      <c r="A43792" s="17"/>
    </row>
    <row r="44084" spans="1:1" ht="17.100000000000001" customHeight="1" x14ac:dyDescent="0.3">
      <c r="A44084" s="17"/>
    </row>
    <row r="44376" spans="1:1" ht="17.100000000000001" customHeight="1" x14ac:dyDescent="0.3">
      <c r="A44376" s="17"/>
    </row>
    <row r="44668" spans="1:1" ht="17.100000000000001" customHeight="1" x14ac:dyDescent="0.3">
      <c r="A44668" s="17"/>
    </row>
    <row r="44960" spans="1:1" ht="17.100000000000001" customHeight="1" x14ac:dyDescent="0.3">
      <c r="A44960" s="17"/>
    </row>
    <row r="45252" spans="1:1" ht="17.100000000000001" customHeight="1" x14ac:dyDescent="0.3">
      <c r="A45252" s="17"/>
    </row>
    <row r="45544" spans="1:1" ht="17.100000000000001" customHeight="1" x14ac:dyDescent="0.3">
      <c r="A45544" s="17"/>
    </row>
    <row r="45836" spans="1:1" ht="17.100000000000001" customHeight="1" x14ac:dyDescent="0.3">
      <c r="A45836" s="17"/>
    </row>
    <row r="46128" spans="1:1" ht="17.100000000000001" customHeight="1" x14ac:dyDescent="0.3">
      <c r="A46128" s="17"/>
    </row>
    <row r="46420" spans="1:1" ht="17.100000000000001" customHeight="1" x14ac:dyDescent="0.3">
      <c r="A46420" s="17"/>
    </row>
    <row r="46712" spans="1:1" ht="17.100000000000001" customHeight="1" x14ac:dyDescent="0.3">
      <c r="A46712" s="17"/>
    </row>
    <row r="47004" spans="1:1" ht="17.100000000000001" customHeight="1" x14ac:dyDescent="0.3">
      <c r="A47004" s="17"/>
    </row>
    <row r="47296" spans="1:1" ht="17.100000000000001" customHeight="1" x14ac:dyDescent="0.3">
      <c r="A47296" s="17"/>
    </row>
    <row r="47588" spans="1:1" ht="17.100000000000001" customHeight="1" x14ac:dyDescent="0.3">
      <c r="A47588" s="17"/>
    </row>
    <row r="47880" spans="1:1" ht="17.100000000000001" customHeight="1" x14ac:dyDescent="0.3">
      <c r="A47880" s="17"/>
    </row>
    <row r="48172" spans="1:1" ht="17.100000000000001" customHeight="1" x14ac:dyDescent="0.3">
      <c r="A48172" s="17"/>
    </row>
    <row r="48464" spans="1:1" ht="17.100000000000001" customHeight="1" x14ac:dyDescent="0.3">
      <c r="A48464" s="17"/>
    </row>
    <row r="48756" spans="1:1" ht="17.100000000000001" customHeight="1" x14ac:dyDescent="0.3">
      <c r="A48756" s="17"/>
    </row>
    <row r="49048" spans="1:1" ht="17.100000000000001" customHeight="1" x14ac:dyDescent="0.3">
      <c r="A49048" s="17"/>
    </row>
    <row r="49340" spans="1:1" ht="17.100000000000001" customHeight="1" x14ac:dyDescent="0.3">
      <c r="A49340" s="17"/>
    </row>
    <row r="49632" spans="1:1" ht="17.100000000000001" customHeight="1" x14ac:dyDescent="0.3">
      <c r="A49632" s="17"/>
    </row>
    <row r="49924" spans="1:1" ht="17.100000000000001" customHeight="1" x14ac:dyDescent="0.3">
      <c r="A49924" s="17"/>
    </row>
    <row r="50216" spans="1:1" ht="17.100000000000001" customHeight="1" x14ac:dyDescent="0.3">
      <c r="A50216" s="17"/>
    </row>
    <row r="50508" spans="1:1" ht="17.100000000000001" customHeight="1" x14ac:dyDescent="0.3">
      <c r="A50508" s="17"/>
    </row>
    <row r="50800" spans="1:1" ht="17.100000000000001" customHeight="1" x14ac:dyDescent="0.3">
      <c r="A50800" s="17"/>
    </row>
    <row r="51092" spans="1:1" ht="17.100000000000001" customHeight="1" x14ac:dyDescent="0.3">
      <c r="A51092" s="17"/>
    </row>
    <row r="51384" spans="1:1" ht="17.100000000000001" customHeight="1" x14ac:dyDescent="0.3">
      <c r="A51384" s="17"/>
    </row>
    <row r="51676" spans="1:1" ht="17.100000000000001" customHeight="1" x14ac:dyDescent="0.3">
      <c r="A51676" s="17"/>
    </row>
    <row r="51968" spans="1:1" ht="17.100000000000001" customHeight="1" x14ac:dyDescent="0.3">
      <c r="A51968" s="17"/>
    </row>
    <row r="52260" spans="1:1" ht="17.100000000000001" customHeight="1" x14ac:dyDescent="0.3">
      <c r="A52260" s="17"/>
    </row>
    <row r="52552" spans="1:1" ht="17.100000000000001" customHeight="1" x14ac:dyDescent="0.3">
      <c r="A52552" s="17"/>
    </row>
    <row r="52844" spans="1:1" ht="17.100000000000001" customHeight="1" x14ac:dyDescent="0.3">
      <c r="A52844" s="17"/>
    </row>
    <row r="53136" spans="1:1" ht="17.100000000000001" customHeight="1" x14ac:dyDescent="0.3">
      <c r="A53136" s="17"/>
    </row>
    <row r="53428" spans="1:1" ht="17.100000000000001" customHeight="1" x14ac:dyDescent="0.3">
      <c r="A53428" s="17"/>
    </row>
    <row r="53720" spans="1:1" ht="17.100000000000001" customHeight="1" x14ac:dyDescent="0.3">
      <c r="A53720" s="17"/>
    </row>
    <row r="54012" spans="1:1" ht="17.100000000000001" customHeight="1" x14ac:dyDescent="0.3">
      <c r="A54012" s="17"/>
    </row>
    <row r="54304" spans="1:1" ht="17.100000000000001" customHeight="1" x14ac:dyDescent="0.3">
      <c r="A54304" s="17"/>
    </row>
    <row r="54596" spans="1:1" ht="17.100000000000001" customHeight="1" x14ac:dyDescent="0.3">
      <c r="A54596" s="17"/>
    </row>
    <row r="54888" spans="1:1" ht="17.100000000000001" customHeight="1" x14ac:dyDescent="0.3">
      <c r="A54888" s="17"/>
    </row>
    <row r="55180" spans="1:1" ht="17.100000000000001" customHeight="1" x14ac:dyDescent="0.3">
      <c r="A55180" s="17"/>
    </row>
    <row r="55472" spans="1:1" ht="17.100000000000001" customHeight="1" x14ac:dyDescent="0.3">
      <c r="A55472" s="17"/>
    </row>
    <row r="55764" spans="1:1" ht="17.100000000000001" customHeight="1" x14ac:dyDescent="0.3">
      <c r="A55764" s="17"/>
    </row>
    <row r="56056" spans="1:1" ht="17.100000000000001" customHeight="1" x14ac:dyDescent="0.3">
      <c r="A56056" s="17"/>
    </row>
    <row r="56348" spans="1:1" ht="17.100000000000001" customHeight="1" x14ac:dyDescent="0.3">
      <c r="A56348" s="17"/>
    </row>
    <row r="56640" spans="1:1" ht="17.100000000000001" customHeight="1" x14ac:dyDescent="0.3">
      <c r="A56640" s="17"/>
    </row>
    <row r="56932" spans="1:1" ht="17.100000000000001" customHeight="1" x14ac:dyDescent="0.3">
      <c r="A56932" s="17"/>
    </row>
    <row r="57224" spans="1:1" ht="17.100000000000001" customHeight="1" x14ac:dyDescent="0.3">
      <c r="A57224" s="17"/>
    </row>
    <row r="57516" spans="1:1" ht="17.100000000000001" customHeight="1" x14ac:dyDescent="0.3">
      <c r="A57516" s="17"/>
    </row>
    <row r="57808" spans="1:1" ht="17.100000000000001" customHeight="1" x14ac:dyDescent="0.3">
      <c r="A57808" s="17"/>
    </row>
    <row r="58100" spans="1:1" ht="17.100000000000001" customHeight="1" x14ac:dyDescent="0.3">
      <c r="A58100" s="17"/>
    </row>
    <row r="58392" spans="1:1" ht="17.100000000000001" customHeight="1" x14ac:dyDescent="0.3">
      <c r="A58392" s="17"/>
    </row>
    <row r="58684" spans="1:1" ht="17.100000000000001" customHeight="1" x14ac:dyDescent="0.3">
      <c r="A58684" s="17"/>
    </row>
    <row r="58976" spans="1:1" ht="17.100000000000001" customHeight="1" x14ac:dyDescent="0.3">
      <c r="A58976" s="17"/>
    </row>
    <row r="59268" spans="1:1" ht="17.100000000000001" customHeight="1" x14ac:dyDescent="0.3">
      <c r="A59268" s="17"/>
    </row>
    <row r="59560" spans="1:1" ht="17.100000000000001" customHeight="1" x14ac:dyDescent="0.3">
      <c r="A59560" s="17"/>
    </row>
    <row r="59852" spans="1:1" ht="17.100000000000001" customHeight="1" x14ac:dyDescent="0.3">
      <c r="A59852" s="17"/>
    </row>
    <row r="60144" spans="1:1" ht="17.100000000000001" customHeight="1" x14ac:dyDescent="0.3">
      <c r="A60144" s="17"/>
    </row>
    <row r="60436" spans="1:1" ht="17.100000000000001" customHeight="1" x14ac:dyDescent="0.3">
      <c r="A60436" s="17"/>
    </row>
    <row r="60728" spans="1:1" ht="17.100000000000001" customHeight="1" x14ac:dyDescent="0.3">
      <c r="A60728" s="17"/>
    </row>
    <row r="61020" spans="1:1" ht="17.100000000000001" customHeight="1" x14ac:dyDescent="0.3">
      <c r="A61020" s="17"/>
    </row>
    <row r="61312" spans="1:1" ht="17.100000000000001" customHeight="1" x14ac:dyDescent="0.3">
      <c r="A61312" s="17"/>
    </row>
    <row r="61604" spans="1:1" ht="17.100000000000001" customHeight="1" x14ac:dyDescent="0.3">
      <c r="A61604" s="17"/>
    </row>
    <row r="61896" spans="1:1" ht="17.100000000000001" customHeight="1" x14ac:dyDescent="0.3">
      <c r="A61896" s="17"/>
    </row>
    <row r="62188" spans="1:1" ht="17.100000000000001" customHeight="1" x14ac:dyDescent="0.3">
      <c r="A62188" s="17"/>
    </row>
    <row r="62480" spans="1:1" ht="17.100000000000001" customHeight="1" x14ac:dyDescent="0.3">
      <c r="A62480" s="17"/>
    </row>
    <row r="62772" spans="1:1" ht="17.100000000000001" customHeight="1" x14ac:dyDescent="0.3">
      <c r="A62772" s="17"/>
    </row>
    <row r="63064" spans="1:1" ht="17.100000000000001" customHeight="1" x14ac:dyDescent="0.3">
      <c r="A63064" s="17"/>
    </row>
    <row r="63356" spans="1:1" ht="17.100000000000001" customHeight="1" x14ac:dyDescent="0.3">
      <c r="A63356" s="17"/>
    </row>
    <row r="63648" spans="1:1" ht="17.100000000000001" customHeight="1" x14ac:dyDescent="0.3">
      <c r="A63648" s="17"/>
    </row>
    <row r="63940" spans="1:1" ht="17.100000000000001" customHeight="1" x14ac:dyDescent="0.3">
      <c r="A63940" s="17"/>
    </row>
    <row r="64232" spans="1:1" ht="17.100000000000001" customHeight="1" x14ac:dyDescent="0.3">
      <c r="A64232" s="17"/>
    </row>
    <row r="64524" spans="1:1" ht="17.100000000000001" customHeight="1" x14ac:dyDescent="0.3">
      <c r="A64524" s="17"/>
    </row>
    <row r="64816" spans="1:1" ht="17.100000000000001" customHeight="1" x14ac:dyDescent="0.3">
      <c r="A64816" s="17"/>
    </row>
    <row r="65108" spans="1:1" ht="17.100000000000001" customHeight="1" x14ac:dyDescent="0.3">
      <c r="A65108" s="17"/>
    </row>
    <row r="65400" spans="1:1" ht="17.100000000000001" customHeight="1" x14ac:dyDescent="0.3">
      <c r="A65400" s="17"/>
    </row>
    <row r="65692" spans="1:1" ht="17.100000000000001" customHeight="1" x14ac:dyDescent="0.3">
      <c r="A65692" s="17"/>
    </row>
    <row r="65984" spans="1:1" ht="17.100000000000001" customHeight="1" x14ac:dyDescent="0.3">
      <c r="A65984" s="17"/>
    </row>
    <row r="66276" spans="1:1" ht="17.100000000000001" customHeight="1" x14ac:dyDescent="0.3">
      <c r="A66276" s="17"/>
    </row>
    <row r="66568" spans="1:1" ht="17.100000000000001" customHeight="1" x14ac:dyDescent="0.3">
      <c r="A66568" s="17"/>
    </row>
    <row r="66860" spans="1:1" ht="17.100000000000001" customHeight="1" x14ac:dyDescent="0.3">
      <c r="A66860" s="17"/>
    </row>
    <row r="67152" spans="1:1" ht="17.100000000000001" customHeight="1" x14ac:dyDescent="0.3">
      <c r="A67152" s="17"/>
    </row>
    <row r="67444" spans="1:1" ht="17.100000000000001" customHeight="1" x14ac:dyDescent="0.3">
      <c r="A67444" s="17"/>
    </row>
    <row r="67736" spans="1:1" ht="17.100000000000001" customHeight="1" x14ac:dyDescent="0.3">
      <c r="A67736" s="17"/>
    </row>
    <row r="68028" spans="1:1" ht="17.100000000000001" customHeight="1" x14ac:dyDescent="0.3">
      <c r="A68028" s="17"/>
    </row>
    <row r="68320" spans="1:1" ht="17.100000000000001" customHeight="1" x14ac:dyDescent="0.3">
      <c r="A68320" s="17"/>
    </row>
    <row r="68612" spans="1:1" ht="17.100000000000001" customHeight="1" x14ac:dyDescent="0.3">
      <c r="A68612" s="17"/>
    </row>
    <row r="68904" spans="1:1" ht="17.100000000000001" customHeight="1" x14ac:dyDescent="0.3">
      <c r="A68904" s="17"/>
    </row>
    <row r="69196" spans="1:1" ht="17.100000000000001" customHeight="1" x14ac:dyDescent="0.3">
      <c r="A69196" s="17"/>
    </row>
    <row r="69488" spans="1:1" ht="17.100000000000001" customHeight="1" x14ac:dyDescent="0.3">
      <c r="A69488" s="17"/>
    </row>
    <row r="69780" spans="1:1" ht="17.100000000000001" customHeight="1" x14ac:dyDescent="0.3">
      <c r="A69780" s="17"/>
    </row>
    <row r="70072" spans="1:1" ht="17.100000000000001" customHeight="1" x14ac:dyDescent="0.3">
      <c r="A70072" s="17"/>
    </row>
    <row r="70364" spans="1:1" ht="17.100000000000001" customHeight="1" x14ac:dyDescent="0.3">
      <c r="A70364" s="17"/>
    </row>
    <row r="70656" spans="1:1" ht="17.100000000000001" customHeight="1" x14ac:dyDescent="0.3">
      <c r="A70656" s="17"/>
    </row>
    <row r="70948" spans="1:1" ht="17.100000000000001" customHeight="1" x14ac:dyDescent="0.3">
      <c r="A70948" s="17"/>
    </row>
    <row r="71240" spans="1:1" ht="17.100000000000001" customHeight="1" x14ac:dyDescent="0.3">
      <c r="A71240" s="17"/>
    </row>
    <row r="71532" spans="1:1" ht="17.100000000000001" customHeight="1" x14ac:dyDescent="0.3">
      <c r="A71532" s="17"/>
    </row>
    <row r="71824" spans="1:1" ht="17.100000000000001" customHeight="1" x14ac:dyDescent="0.3">
      <c r="A71824" s="17"/>
    </row>
    <row r="72116" spans="1:1" ht="17.100000000000001" customHeight="1" x14ac:dyDescent="0.3">
      <c r="A72116" s="17"/>
    </row>
    <row r="72408" spans="1:1" ht="17.100000000000001" customHeight="1" x14ac:dyDescent="0.3">
      <c r="A72408" s="17"/>
    </row>
    <row r="72700" spans="1:1" ht="17.100000000000001" customHeight="1" x14ac:dyDescent="0.3">
      <c r="A72700" s="17"/>
    </row>
    <row r="72992" spans="1:1" ht="17.100000000000001" customHeight="1" x14ac:dyDescent="0.3">
      <c r="A72992" s="17"/>
    </row>
    <row r="73284" spans="1:1" ht="17.100000000000001" customHeight="1" x14ac:dyDescent="0.3">
      <c r="A73284" s="17"/>
    </row>
    <row r="73576" spans="1:1" ht="17.100000000000001" customHeight="1" x14ac:dyDescent="0.3">
      <c r="A73576" s="17"/>
    </row>
    <row r="73868" spans="1:1" ht="17.100000000000001" customHeight="1" x14ac:dyDescent="0.3">
      <c r="A73868" s="17"/>
    </row>
    <row r="74160" spans="1:1" ht="17.100000000000001" customHeight="1" x14ac:dyDescent="0.3">
      <c r="A74160" s="17"/>
    </row>
    <row r="74452" spans="1:1" ht="17.100000000000001" customHeight="1" x14ac:dyDescent="0.3">
      <c r="A74452" s="17"/>
    </row>
    <row r="74744" spans="1:1" ht="17.100000000000001" customHeight="1" x14ac:dyDescent="0.3">
      <c r="A74744" s="17"/>
    </row>
    <row r="75036" spans="1:1" ht="17.100000000000001" customHeight="1" x14ac:dyDescent="0.3">
      <c r="A75036" s="17"/>
    </row>
    <row r="75328" spans="1:1" ht="17.100000000000001" customHeight="1" x14ac:dyDescent="0.3">
      <c r="A75328" s="17"/>
    </row>
    <row r="75620" spans="1:1" ht="17.100000000000001" customHeight="1" x14ac:dyDescent="0.3">
      <c r="A75620" s="17"/>
    </row>
    <row r="75912" spans="1:1" ht="17.100000000000001" customHeight="1" x14ac:dyDescent="0.3">
      <c r="A75912" s="17"/>
    </row>
    <row r="76204" spans="1:1" ht="17.100000000000001" customHeight="1" x14ac:dyDescent="0.3">
      <c r="A76204" s="17"/>
    </row>
    <row r="76496" spans="1:1" ht="17.100000000000001" customHeight="1" x14ac:dyDescent="0.3">
      <c r="A76496" s="17"/>
    </row>
    <row r="76788" spans="1:1" ht="17.100000000000001" customHeight="1" x14ac:dyDescent="0.3">
      <c r="A76788" s="17"/>
    </row>
    <row r="77080" spans="1:1" ht="17.100000000000001" customHeight="1" x14ac:dyDescent="0.3">
      <c r="A77080" s="17"/>
    </row>
    <row r="77372" spans="1:1" ht="17.100000000000001" customHeight="1" x14ac:dyDescent="0.3">
      <c r="A77372" s="17"/>
    </row>
    <row r="77664" spans="1:1" ht="17.100000000000001" customHeight="1" x14ac:dyDescent="0.3">
      <c r="A77664" s="17"/>
    </row>
    <row r="77956" spans="1:1" ht="17.100000000000001" customHeight="1" x14ac:dyDescent="0.3">
      <c r="A77956" s="17"/>
    </row>
    <row r="78248" spans="1:1" ht="17.100000000000001" customHeight="1" x14ac:dyDescent="0.3">
      <c r="A78248" s="17"/>
    </row>
    <row r="78540" spans="1:1" ht="17.100000000000001" customHeight="1" x14ac:dyDescent="0.3">
      <c r="A78540" s="17"/>
    </row>
    <row r="78832" spans="1:1" ht="17.100000000000001" customHeight="1" x14ac:dyDescent="0.3">
      <c r="A78832" s="17"/>
    </row>
    <row r="79124" spans="1:1" ht="17.100000000000001" customHeight="1" x14ac:dyDescent="0.3">
      <c r="A79124" s="17"/>
    </row>
    <row r="79416" spans="1:1" ht="17.100000000000001" customHeight="1" x14ac:dyDescent="0.3">
      <c r="A79416" s="17"/>
    </row>
    <row r="79708" spans="1:1" ht="17.100000000000001" customHeight="1" x14ac:dyDescent="0.3">
      <c r="A79708" s="17"/>
    </row>
    <row r="80000" spans="1:1" ht="17.100000000000001" customHeight="1" x14ac:dyDescent="0.3">
      <c r="A80000" s="17"/>
    </row>
    <row r="80292" spans="1:1" ht="17.100000000000001" customHeight="1" x14ac:dyDescent="0.3">
      <c r="A80292" s="17"/>
    </row>
    <row r="80584" spans="1:1" ht="17.100000000000001" customHeight="1" x14ac:dyDescent="0.3">
      <c r="A80584" s="17"/>
    </row>
    <row r="80876" spans="1:1" ht="17.100000000000001" customHeight="1" x14ac:dyDescent="0.3">
      <c r="A80876" s="17"/>
    </row>
    <row r="81168" spans="1:1" ht="17.100000000000001" customHeight="1" x14ac:dyDescent="0.3">
      <c r="A81168" s="17"/>
    </row>
    <row r="81460" spans="1:1" ht="17.100000000000001" customHeight="1" x14ac:dyDescent="0.3">
      <c r="A81460" s="17"/>
    </row>
    <row r="81752" spans="1:1" ht="17.100000000000001" customHeight="1" x14ac:dyDescent="0.3">
      <c r="A81752" s="17"/>
    </row>
    <row r="82044" spans="1:1" ht="17.100000000000001" customHeight="1" x14ac:dyDescent="0.3">
      <c r="A82044" s="17"/>
    </row>
    <row r="82336" spans="1:1" ht="17.100000000000001" customHeight="1" x14ac:dyDescent="0.3">
      <c r="A82336" s="17"/>
    </row>
    <row r="82628" spans="1:1" ht="17.100000000000001" customHeight="1" x14ac:dyDescent="0.3">
      <c r="A82628" s="17"/>
    </row>
    <row r="82920" spans="1:1" ht="17.100000000000001" customHeight="1" x14ac:dyDescent="0.3">
      <c r="A82920" s="17"/>
    </row>
    <row r="83212" spans="1:1" ht="17.100000000000001" customHeight="1" x14ac:dyDescent="0.3">
      <c r="A83212" s="17"/>
    </row>
    <row r="83504" spans="1:1" ht="17.100000000000001" customHeight="1" x14ac:dyDescent="0.3">
      <c r="A83504" s="17"/>
    </row>
    <row r="83796" spans="1:1" ht="17.100000000000001" customHeight="1" x14ac:dyDescent="0.3">
      <c r="A83796" s="17"/>
    </row>
    <row r="84088" spans="1:1" ht="17.100000000000001" customHeight="1" x14ac:dyDescent="0.3">
      <c r="A84088" s="17"/>
    </row>
    <row r="84380" spans="1:1" ht="17.100000000000001" customHeight="1" x14ac:dyDescent="0.3">
      <c r="A84380" s="17"/>
    </row>
    <row r="84672" spans="1:1" ht="17.100000000000001" customHeight="1" x14ac:dyDescent="0.3">
      <c r="A84672" s="17"/>
    </row>
    <row r="84964" spans="1:1" ht="17.100000000000001" customHeight="1" x14ac:dyDescent="0.3">
      <c r="A84964" s="17"/>
    </row>
    <row r="85256" spans="1:1" ht="17.100000000000001" customHeight="1" x14ac:dyDescent="0.3">
      <c r="A85256" s="17"/>
    </row>
    <row r="85548" spans="1:1" ht="17.100000000000001" customHeight="1" x14ac:dyDescent="0.3">
      <c r="A85548" s="17"/>
    </row>
    <row r="85840" spans="1:1" ht="17.100000000000001" customHeight="1" x14ac:dyDescent="0.3">
      <c r="A85840" s="17"/>
    </row>
    <row r="86132" spans="1:1" ht="17.100000000000001" customHeight="1" x14ac:dyDescent="0.3">
      <c r="A86132" s="17"/>
    </row>
    <row r="86424" spans="1:1" ht="17.100000000000001" customHeight="1" x14ac:dyDescent="0.3">
      <c r="A86424" s="17"/>
    </row>
    <row r="86716" spans="1:1" ht="17.100000000000001" customHeight="1" x14ac:dyDescent="0.3">
      <c r="A86716" s="17"/>
    </row>
    <row r="87008" spans="1:1" ht="17.100000000000001" customHeight="1" x14ac:dyDescent="0.3">
      <c r="A87008" s="17"/>
    </row>
    <row r="87300" spans="1:1" ht="17.100000000000001" customHeight="1" x14ac:dyDescent="0.3">
      <c r="A87300" s="17"/>
    </row>
    <row r="87592" spans="1:1" ht="17.100000000000001" customHeight="1" x14ac:dyDescent="0.3">
      <c r="A87592" s="17"/>
    </row>
    <row r="87884" spans="1:1" ht="17.100000000000001" customHeight="1" x14ac:dyDescent="0.3">
      <c r="A87884" s="17"/>
    </row>
    <row r="88176" spans="1:1" ht="17.100000000000001" customHeight="1" x14ac:dyDescent="0.3">
      <c r="A88176" s="17"/>
    </row>
    <row r="88468" spans="1:1" ht="17.100000000000001" customHeight="1" x14ac:dyDescent="0.3">
      <c r="A88468" s="17"/>
    </row>
    <row r="88760" spans="1:1" ht="17.100000000000001" customHeight="1" x14ac:dyDescent="0.3">
      <c r="A88760" s="17"/>
    </row>
    <row r="89052" spans="1:1" ht="17.100000000000001" customHeight="1" x14ac:dyDescent="0.3">
      <c r="A89052" s="17"/>
    </row>
    <row r="89344" spans="1:1" ht="17.100000000000001" customHeight="1" x14ac:dyDescent="0.3">
      <c r="A89344" s="17"/>
    </row>
    <row r="89636" spans="1:1" ht="17.100000000000001" customHeight="1" x14ac:dyDescent="0.3">
      <c r="A89636" s="17"/>
    </row>
    <row r="89928" spans="1:1" ht="17.100000000000001" customHeight="1" x14ac:dyDescent="0.3">
      <c r="A89928" s="17"/>
    </row>
    <row r="90220" spans="1:1" ht="17.100000000000001" customHeight="1" x14ac:dyDescent="0.3">
      <c r="A90220" s="17"/>
    </row>
    <row r="90512" spans="1:1" ht="17.100000000000001" customHeight="1" x14ac:dyDescent="0.3">
      <c r="A90512" s="17"/>
    </row>
    <row r="90804" spans="1:1" ht="17.100000000000001" customHeight="1" x14ac:dyDescent="0.3">
      <c r="A90804" s="17"/>
    </row>
    <row r="91096" spans="1:1" ht="17.100000000000001" customHeight="1" x14ac:dyDescent="0.3">
      <c r="A91096" s="17"/>
    </row>
    <row r="91388" spans="1:1" ht="17.100000000000001" customHeight="1" x14ac:dyDescent="0.3">
      <c r="A91388" s="17"/>
    </row>
    <row r="91680" spans="1:1" ht="17.100000000000001" customHeight="1" x14ac:dyDescent="0.3">
      <c r="A91680" s="17"/>
    </row>
    <row r="91972" spans="1:1" ht="17.100000000000001" customHeight="1" x14ac:dyDescent="0.3">
      <c r="A91972" s="17"/>
    </row>
    <row r="92264" spans="1:1" ht="17.100000000000001" customHeight="1" x14ac:dyDescent="0.3">
      <c r="A92264" s="17"/>
    </row>
    <row r="92556" spans="1:1" ht="17.100000000000001" customHeight="1" x14ac:dyDescent="0.3">
      <c r="A92556" s="17"/>
    </row>
    <row r="92848" spans="1:1" ht="17.100000000000001" customHeight="1" x14ac:dyDescent="0.3">
      <c r="A92848" s="17"/>
    </row>
    <row r="93140" spans="1:1" ht="17.100000000000001" customHeight="1" x14ac:dyDescent="0.3">
      <c r="A93140" s="17"/>
    </row>
    <row r="93432" spans="1:1" ht="17.100000000000001" customHeight="1" x14ac:dyDescent="0.3">
      <c r="A93432" s="17"/>
    </row>
    <row r="93724" spans="1:1" ht="17.100000000000001" customHeight="1" x14ac:dyDescent="0.3">
      <c r="A93724" s="17"/>
    </row>
    <row r="94016" spans="1:1" ht="17.100000000000001" customHeight="1" x14ac:dyDescent="0.3">
      <c r="A94016" s="17"/>
    </row>
    <row r="94308" spans="1:1" ht="17.100000000000001" customHeight="1" x14ac:dyDescent="0.3">
      <c r="A94308" s="17"/>
    </row>
    <row r="94600" spans="1:1" ht="17.100000000000001" customHeight="1" x14ac:dyDescent="0.3">
      <c r="A94600" s="17"/>
    </row>
    <row r="94892" spans="1:1" ht="17.100000000000001" customHeight="1" x14ac:dyDescent="0.3">
      <c r="A94892" s="17"/>
    </row>
    <row r="95184" spans="1:1" ht="17.100000000000001" customHeight="1" x14ac:dyDescent="0.3">
      <c r="A95184" s="17"/>
    </row>
    <row r="95476" spans="1:1" ht="17.100000000000001" customHeight="1" x14ac:dyDescent="0.3">
      <c r="A95476" s="17"/>
    </row>
    <row r="95768" spans="1:1" ht="17.100000000000001" customHeight="1" x14ac:dyDescent="0.3">
      <c r="A95768" s="17"/>
    </row>
    <row r="96060" spans="1:1" ht="17.100000000000001" customHeight="1" x14ac:dyDescent="0.3">
      <c r="A96060" s="17"/>
    </row>
    <row r="96352" spans="1:1" ht="17.100000000000001" customHeight="1" x14ac:dyDescent="0.3">
      <c r="A96352" s="17"/>
    </row>
    <row r="96644" spans="1:1" ht="17.100000000000001" customHeight="1" x14ac:dyDescent="0.3">
      <c r="A96644" s="17"/>
    </row>
    <row r="96936" spans="1:1" ht="17.100000000000001" customHeight="1" x14ac:dyDescent="0.3">
      <c r="A96936" s="17"/>
    </row>
    <row r="97228" spans="1:1" ht="17.100000000000001" customHeight="1" x14ac:dyDescent="0.3">
      <c r="A97228" s="17"/>
    </row>
    <row r="97520" spans="1:1" ht="17.100000000000001" customHeight="1" x14ac:dyDescent="0.3">
      <c r="A97520" s="17"/>
    </row>
    <row r="97812" spans="1:1" ht="17.100000000000001" customHeight="1" x14ac:dyDescent="0.3">
      <c r="A97812" s="17"/>
    </row>
    <row r="98104" spans="1:1" ht="17.100000000000001" customHeight="1" x14ac:dyDescent="0.3">
      <c r="A98104" s="17"/>
    </row>
    <row r="98396" spans="1:1" ht="17.100000000000001" customHeight="1" x14ac:dyDescent="0.3">
      <c r="A98396" s="17"/>
    </row>
    <row r="98688" spans="1:1" ht="17.100000000000001" customHeight="1" x14ac:dyDescent="0.3">
      <c r="A98688" s="17"/>
    </row>
    <row r="98980" spans="1:1" ht="17.100000000000001" customHeight="1" x14ac:dyDescent="0.3">
      <c r="A98980" s="17"/>
    </row>
    <row r="99272" spans="1:1" ht="17.100000000000001" customHeight="1" x14ac:dyDescent="0.3">
      <c r="A99272" s="17"/>
    </row>
    <row r="99564" spans="1:1" ht="17.100000000000001" customHeight="1" x14ac:dyDescent="0.3">
      <c r="A99564" s="17"/>
    </row>
    <row r="99856" spans="1:1" ht="17.100000000000001" customHeight="1" x14ac:dyDescent="0.3">
      <c r="A99856" s="17"/>
    </row>
    <row r="100148" spans="1:1" ht="17.100000000000001" customHeight="1" x14ac:dyDescent="0.3">
      <c r="A100148" s="17"/>
    </row>
    <row r="100440" spans="1:1" ht="17.100000000000001" customHeight="1" x14ac:dyDescent="0.3">
      <c r="A100440" s="17"/>
    </row>
    <row r="100732" spans="1:1" ht="17.100000000000001" customHeight="1" x14ac:dyDescent="0.3">
      <c r="A100732" s="17"/>
    </row>
    <row r="101024" spans="1:1" ht="17.100000000000001" customHeight="1" x14ac:dyDescent="0.3">
      <c r="A101024" s="17"/>
    </row>
    <row r="101316" spans="1:1" ht="17.100000000000001" customHeight="1" x14ac:dyDescent="0.3">
      <c r="A101316" s="17"/>
    </row>
    <row r="101608" spans="1:1" ht="17.100000000000001" customHeight="1" x14ac:dyDescent="0.3">
      <c r="A101608" s="17"/>
    </row>
    <row r="101900" spans="1:1" ht="17.100000000000001" customHeight="1" x14ac:dyDescent="0.3">
      <c r="A101900" s="17"/>
    </row>
    <row r="102192" spans="1:1" ht="17.100000000000001" customHeight="1" x14ac:dyDescent="0.3">
      <c r="A102192" s="17"/>
    </row>
    <row r="102484" spans="1:1" ht="17.100000000000001" customHeight="1" x14ac:dyDescent="0.3">
      <c r="A102484" s="17"/>
    </row>
    <row r="102776" spans="1:1" ht="17.100000000000001" customHeight="1" x14ac:dyDescent="0.3">
      <c r="A102776" s="17"/>
    </row>
    <row r="103068" spans="1:1" ht="17.100000000000001" customHeight="1" x14ac:dyDescent="0.3">
      <c r="A103068" s="17"/>
    </row>
    <row r="103360" spans="1:1" ht="17.100000000000001" customHeight="1" x14ac:dyDescent="0.3">
      <c r="A103360" s="17"/>
    </row>
    <row r="103652" spans="1:1" ht="17.100000000000001" customHeight="1" x14ac:dyDescent="0.3">
      <c r="A103652" s="17"/>
    </row>
    <row r="103944" spans="1:1" ht="17.100000000000001" customHeight="1" x14ac:dyDescent="0.3">
      <c r="A103944" s="17"/>
    </row>
    <row r="104236" spans="1:1" ht="17.100000000000001" customHeight="1" x14ac:dyDescent="0.3">
      <c r="A104236" s="17"/>
    </row>
    <row r="104528" spans="1:1" ht="17.100000000000001" customHeight="1" x14ac:dyDescent="0.3">
      <c r="A104528" s="17"/>
    </row>
    <row r="104820" spans="1:1" ht="17.100000000000001" customHeight="1" x14ac:dyDescent="0.3">
      <c r="A104820" s="17"/>
    </row>
    <row r="105112" spans="1:1" ht="17.100000000000001" customHeight="1" x14ac:dyDescent="0.3">
      <c r="A105112" s="17"/>
    </row>
    <row r="105404" spans="1:1" ht="17.100000000000001" customHeight="1" x14ac:dyDescent="0.3">
      <c r="A105404" s="17"/>
    </row>
    <row r="105696" spans="1:1" ht="17.100000000000001" customHeight="1" x14ac:dyDescent="0.3">
      <c r="A105696" s="17"/>
    </row>
    <row r="105988" spans="1:1" ht="17.100000000000001" customHeight="1" x14ac:dyDescent="0.3">
      <c r="A105988" s="17"/>
    </row>
    <row r="106280" spans="1:1" ht="17.100000000000001" customHeight="1" x14ac:dyDescent="0.3">
      <c r="A106280" s="17"/>
    </row>
    <row r="106572" spans="1:1" ht="17.100000000000001" customHeight="1" x14ac:dyDescent="0.3">
      <c r="A106572" s="17"/>
    </row>
    <row r="106864" spans="1:1" ht="17.100000000000001" customHeight="1" x14ac:dyDescent="0.3">
      <c r="A106864" s="17"/>
    </row>
    <row r="107156" spans="1:1" ht="17.100000000000001" customHeight="1" x14ac:dyDescent="0.3">
      <c r="A107156" s="17"/>
    </row>
    <row r="107448" spans="1:1" ht="17.100000000000001" customHeight="1" x14ac:dyDescent="0.3">
      <c r="A107448" s="17"/>
    </row>
    <row r="107740" spans="1:1" ht="17.100000000000001" customHeight="1" x14ac:dyDescent="0.3">
      <c r="A107740" s="17"/>
    </row>
    <row r="108032" spans="1:1" ht="17.100000000000001" customHeight="1" x14ac:dyDescent="0.3">
      <c r="A108032" s="17"/>
    </row>
    <row r="108324" spans="1:1" ht="17.100000000000001" customHeight="1" x14ac:dyDescent="0.3">
      <c r="A108324" s="17"/>
    </row>
    <row r="108616" spans="1:1" ht="17.100000000000001" customHeight="1" x14ac:dyDescent="0.3">
      <c r="A108616" s="17"/>
    </row>
    <row r="108908" spans="1:1" ht="17.100000000000001" customHeight="1" x14ac:dyDescent="0.3">
      <c r="A108908" s="17"/>
    </row>
    <row r="109200" spans="1:1" ht="17.100000000000001" customHeight="1" x14ac:dyDescent="0.3">
      <c r="A109200" s="17"/>
    </row>
    <row r="109492" spans="1:1" ht="17.100000000000001" customHeight="1" x14ac:dyDescent="0.3">
      <c r="A109492" s="17"/>
    </row>
    <row r="109784" spans="1:1" ht="17.100000000000001" customHeight="1" x14ac:dyDescent="0.3">
      <c r="A109784" s="17"/>
    </row>
    <row r="110076" spans="1:1" ht="17.100000000000001" customHeight="1" x14ac:dyDescent="0.3">
      <c r="A110076" s="17"/>
    </row>
    <row r="110368" spans="1:1" ht="17.100000000000001" customHeight="1" x14ac:dyDescent="0.3">
      <c r="A110368" s="17"/>
    </row>
    <row r="110660" spans="1:1" ht="17.100000000000001" customHeight="1" x14ac:dyDescent="0.3">
      <c r="A110660" s="17"/>
    </row>
    <row r="110952" spans="1:1" ht="17.100000000000001" customHeight="1" x14ac:dyDescent="0.3">
      <c r="A110952" s="17"/>
    </row>
    <row r="111244" spans="1:1" ht="17.100000000000001" customHeight="1" x14ac:dyDescent="0.3">
      <c r="A111244" s="17"/>
    </row>
    <row r="111536" spans="1:1" ht="17.100000000000001" customHeight="1" x14ac:dyDescent="0.3">
      <c r="A111536" s="17"/>
    </row>
    <row r="111828" spans="1:1" ht="17.100000000000001" customHeight="1" x14ac:dyDescent="0.3">
      <c r="A111828" s="17"/>
    </row>
    <row r="112120" spans="1:1" ht="17.100000000000001" customHeight="1" x14ac:dyDescent="0.3">
      <c r="A112120" s="17"/>
    </row>
    <row r="112412" spans="1:1" ht="17.100000000000001" customHeight="1" x14ac:dyDescent="0.3">
      <c r="A112412" s="17"/>
    </row>
    <row r="112704" spans="1:1" ht="17.100000000000001" customHeight="1" x14ac:dyDescent="0.3">
      <c r="A112704" s="17"/>
    </row>
    <row r="112996" spans="1:1" ht="17.100000000000001" customHeight="1" x14ac:dyDescent="0.3">
      <c r="A112996" s="17"/>
    </row>
    <row r="113288" spans="1:1" ht="17.100000000000001" customHeight="1" x14ac:dyDescent="0.3">
      <c r="A113288" s="17"/>
    </row>
    <row r="113580" spans="1:1" ht="17.100000000000001" customHeight="1" x14ac:dyDescent="0.3">
      <c r="A113580" s="17"/>
    </row>
    <row r="113872" spans="1:1" ht="17.100000000000001" customHeight="1" x14ac:dyDescent="0.3">
      <c r="A113872" s="17"/>
    </row>
    <row r="114164" spans="1:1" ht="17.100000000000001" customHeight="1" x14ac:dyDescent="0.3">
      <c r="A114164" s="17"/>
    </row>
    <row r="114456" spans="1:1" ht="17.100000000000001" customHeight="1" x14ac:dyDescent="0.3">
      <c r="A114456" s="17"/>
    </row>
    <row r="114748" spans="1:1" ht="17.100000000000001" customHeight="1" x14ac:dyDescent="0.3">
      <c r="A114748" s="17"/>
    </row>
    <row r="115040" spans="1:1" ht="17.100000000000001" customHeight="1" x14ac:dyDescent="0.3">
      <c r="A115040" s="17"/>
    </row>
    <row r="115332" spans="1:1" ht="17.100000000000001" customHeight="1" x14ac:dyDescent="0.3">
      <c r="A115332" s="17"/>
    </row>
    <row r="115624" spans="1:1" ht="17.100000000000001" customHeight="1" x14ac:dyDescent="0.3">
      <c r="A115624" s="17"/>
    </row>
    <row r="115916" spans="1:1" ht="17.100000000000001" customHeight="1" x14ac:dyDescent="0.3">
      <c r="A115916" s="17"/>
    </row>
    <row r="116208" spans="1:1" ht="17.100000000000001" customHeight="1" x14ac:dyDescent="0.3">
      <c r="A116208" s="17"/>
    </row>
    <row r="116500" spans="1:1" ht="17.100000000000001" customHeight="1" x14ac:dyDescent="0.3">
      <c r="A116500" s="17"/>
    </row>
    <row r="116792" spans="1:1" ht="17.100000000000001" customHeight="1" x14ac:dyDescent="0.3">
      <c r="A116792" s="17"/>
    </row>
    <row r="117084" spans="1:1" ht="17.100000000000001" customHeight="1" x14ac:dyDescent="0.3">
      <c r="A117084" s="17"/>
    </row>
    <row r="117376" spans="1:1" ht="17.100000000000001" customHeight="1" x14ac:dyDescent="0.3">
      <c r="A117376" s="17"/>
    </row>
    <row r="117668" spans="1:1" ht="17.100000000000001" customHeight="1" x14ac:dyDescent="0.3">
      <c r="A117668" s="17"/>
    </row>
    <row r="117960" spans="1:1" ht="17.100000000000001" customHeight="1" x14ac:dyDescent="0.3">
      <c r="A117960" s="17"/>
    </row>
    <row r="118252" spans="1:1" ht="17.100000000000001" customHeight="1" x14ac:dyDescent="0.3">
      <c r="A118252" s="17"/>
    </row>
    <row r="118544" spans="1:1" ht="17.100000000000001" customHeight="1" x14ac:dyDescent="0.3">
      <c r="A118544" s="17"/>
    </row>
    <row r="118836" spans="1:1" ht="17.100000000000001" customHeight="1" x14ac:dyDescent="0.3">
      <c r="A118836" s="17"/>
    </row>
    <row r="119128" spans="1:1" ht="17.100000000000001" customHeight="1" x14ac:dyDescent="0.3">
      <c r="A119128" s="17"/>
    </row>
    <row r="119420" spans="1:1" ht="17.100000000000001" customHeight="1" x14ac:dyDescent="0.3">
      <c r="A119420" s="17"/>
    </row>
    <row r="119712" spans="1:1" ht="17.100000000000001" customHeight="1" x14ac:dyDescent="0.3">
      <c r="A119712" s="17"/>
    </row>
    <row r="120004" spans="1:1" ht="17.100000000000001" customHeight="1" x14ac:dyDescent="0.3">
      <c r="A120004" s="17"/>
    </row>
    <row r="120296" spans="1:1" ht="17.100000000000001" customHeight="1" x14ac:dyDescent="0.3">
      <c r="A120296" s="17"/>
    </row>
    <row r="120588" spans="1:1" ht="17.100000000000001" customHeight="1" x14ac:dyDescent="0.3">
      <c r="A120588" s="17"/>
    </row>
    <row r="120880" spans="1:1" ht="17.100000000000001" customHeight="1" x14ac:dyDescent="0.3">
      <c r="A120880" s="17"/>
    </row>
    <row r="121172" spans="1:1" ht="17.100000000000001" customHeight="1" x14ac:dyDescent="0.3">
      <c r="A121172" s="17"/>
    </row>
    <row r="121464" spans="1:1" ht="17.100000000000001" customHeight="1" x14ac:dyDescent="0.3">
      <c r="A121464" s="17"/>
    </row>
    <row r="121756" spans="1:1" ht="17.100000000000001" customHeight="1" x14ac:dyDescent="0.3">
      <c r="A121756" s="17"/>
    </row>
    <row r="122048" spans="1:1" ht="17.100000000000001" customHeight="1" x14ac:dyDescent="0.3">
      <c r="A122048" s="17"/>
    </row>
    <row r="122340" spans="1:1" ht="17.100000000000001" customHeight="1" x14ac:dyDescent="0.3">
      <c r="A122340" s="17"/>
    </row>
    <row r="122632" spans="1:1" ht="17.100000000000001" customHeight="1" x14ac:dyDescent="0.3">
      <c r="A122632" s="17"/>
    </row>
    <row r="122924" spans="1:1" ht="17.100000000000001" customHeight="1" x14ac:dyDescent="0.3">
      <c r="A122924" s="17"/>
    </row>
    <row r="123216" spans="1:1" ht="17.100000000000001" customHeight="1" x14ac:dyDescent="0.3">
      <c r="A123216" s="17"/>
    </row>
    <row r="123508" spans="1:1" ht="17.100000000000001" customHeight="1" x14ac:dyDescent="0.3">
      <c r="A123508" s="17"/>
    </row>
    <row r="123800" spans="1:1" ht="17.100000000000001" customHeight="1" x14ac:dyDescent="0.3">
      <c r="A123800" s="17"/>
    </row>
    <row r="124092" spans="1:1" ht="17.100000000000001" customHeight="1" x14ac:dyDescent="0.3">
      <c r="A124092" s="17"/>
    </row>
    <row r="124384" spans="1:1" ht="17.100000000000001" customHeight="1" x14ac:dyDescent="0.3">
      <c r="A124384" s="17"/>
    </row>
    <row r="124676" spans="1:1" ht="17.100000000000001" customHeight="1" x14ac:dyDescent="0.3">
      <c r="A124676" s="17"/>
    </row>
    <row r="124968" spans="1:1" ht="17.100000000000001" customHeight="1" x14ac:dyDescent="0.3">
      <c r="A124968" s="17"/>
    </row>
    <row r="125260" spans="1:1" ht="17.100000000000001" customHeight="1" x14ac:dyDescent="0.3">
      <c r="A125260" s="17"/>
    </row>
    <row r="125552" spans="1:1" ht="17.100000000000001" customHeight="1" x14ac:dyDescent="0.3">
      <c r="A125552" s="17"/>
    </row>
    <row r="125844" spans="1:1" ht="17.100000000000001" customHeight="1" x14ac:dyDescent="0.3">
      <c r="A125844" s="17"/>
    </row>
    <row r="126136" spans="1:1" ht="17.100000000000001" customHeight="1" x14ac:dyDescent="0.3">
      <c r="A126136" s="17"/>
    </row>
    <row r="126428" spans="1:1" ht="17.100000000000001" customHeight="1" x14ac:dyDescent="0.3">
      <c r="A126428" s="17"/>
    </row>
    <row r="126720" spans="1:1" ht="17.100000000000001" customHeight="1" x14ac:dyDescent="0.3">
      <c r="A126720" s="17"/>
    </row>
    <row r="127012" spans="1:1" ht="17.100000000000001" customHeight="1" x14ac:dyDescent="0.3">
      <c r="A127012" s="17"/>
    </row>
    <row r="127304" spans="1:1" ht="17.100000000000001" customHeight="1" x14ac:dyDescent="0.3">
      <c r="A127304" s="17"/>
    </row>
    <row r="127596" spans="1:1" ht="17.100000000000001" customHeight="1" x14ac:dyDescent="0.3">
      <c r="A127596" s="17"/>
    </row>
    <row r="127888" spans="1:1" ht="17.100000000000001" customHeight="1" x14ac:dyDescent="0.3">
      <c r="A127888" s="17"/>
    </row>
    <row r="128180" spans="1:1" ht="17.100000000000001" customHeight="1" x14ac:dyDescent="0.3">
      <c r="A128180" s="17"/>
    </row>
    <row r="128472" spans="1:1" ht="17.100000000000001" customHeight="1" x14ac:dyDescent="0.3">
      <c r="A128472" s="17"/>
    </row>
    <row r="128764" spans="1:1" ht="17.100000000000001" customHeight="1" x14ac:dyDescent="0.3">
      <c r="A128764" s="17"/>
    </row>
    <row r="129056" spans="1:1" ht="17.100000000000001" customHeight="1" x14ac:dyDescent="0.3">
      <c r="A129056" s="17"/>
    </row>
    <row r="129348" spans="1:1" ht="17.100000000000001" customHeight="1" x14ac:dyDescent="0.3">
      <c r="A129348" s="17"/>
    </row>
    <row r="129640" spans="1:1" ht="17.100000000000001" customHeight="1" x14ac:dyDescent="0.3">
      <c r="A129640" s="17"/>
    </row>
    <row r="129932" spans="1:1" ht="17.100000000000001" customHeight="1" x14ac:dyDescent="0.3">
      <c r="A129932" s="17"/>
    </row>
    <row r="130224" spans="1:1" ht="17.100000000000001" customHeight="1" x14ac:dyDescent="0.3">
      <c r="A130224" s="17"/>
    </row>
    <row r="130516" spans="1:1" ht="17.100000000000001" customHeight="1" x14ac:dyDescent="0.3">
      <c r="A130516" s="17"/>
    </row>
    <row r="130808" spans="1:1" ht="17.100000000000001" customHeight="1" x14ac:dyDescent="0.3">
      <c r="A130808" s="17"/>
    </row>
    <row r="131100" spans="1:1" ht="17.100000000000001" customHeight="1" x14ac:dyDescent="0.3">
      <c r="A131100" s="17"/>
    </row>
    <row r="131392" spans="1:1" ht="17.100000000000001" customHeight="1" x14ac:dyDescent="0.3">
      <c r="A131392" s="17"/>
    </row>
    <row r="131684" spans="1:1" ht="17.100000000000001" customHeight="1" x14ac:dyDescent="0.3">
      <c r="A131684" s="17"/>
    </row>
    <row r="131976" spans="1:1" ht="17.100000000000001" customHeight="1" x14ac:dyDescent="0.3">
      <c r="A131976" s="17"/>
    </row>
    <row r="132268" spans="1:1" ht="17.100000000000001" customHeight="1" x14ac:dyDescent="0.3">
      <c r="A132268" s="17"/>
    </row>
    <row r="132560" spans="1:1" ht="17.100000000000001" customHeight="1" x14ac:dyDescent="0.3">
      <c r="A132560" s="17"/>
    </row>
    <row r="132852" spans="1:1" ht="17.100000000000001" customHeight="1" x14ac:dyDescent="0.3">
      <c r="A132852" s="17"/>
    </row>
    <row r="133144" spans="1:1" ht="17.100000000000001" customHeight="1" x14ac:dyDescent="0.3">
      <c r="A133144" s="17"/>
    </row>
    <row r="133436" spans="1:1" ht="17.100000000000001" customHeight="1" x14ac:dyDescent="0.3">
      <c r="A133436" s="17"/>
    </row>
    <row r="133728" spans="1:1" ht="17.100000000000001" customHeight="1" x14ac:dyDescent="0.3">
      <c r="A133728" s="17"/>
    </row>
    <row r="134020" spans="1:1" ht="17.100000000000001" customHeight="1" x14ac:dyDescent="0.3">
      <c r="A134020" s="17"/>
    </row>
    <row r="134312" spans="1:1" ht="17.100000000000001" customHeight="1" x14ac:dyDescent="0.3">
      <c r="A134312" s="17"/>
    </row>
    <row r="134604" spans="1:1" ht="17.100000000000001" customHeight="1" x14ac:dyDescent="0.3">
      <c r="A134604" s="17"/>
    </row>
    <row r="134896" spans="1:1" ht="17.100000000000001" customHeight="1" x14ac:dyDescent="0.3">
      <c r="A134896" s="17"/>
    </row>
    <row r="135188" spans="1:1" ht="17.100000000000001" customHeight="1" x14ac:dyDescent="0.3">
      <c r="A135188" s="17"/>
    </row>
    <row r="135480" spans="1:1" ht="17.100000000000001" customHeight="1" x14ac:dyDescent="0.3">
      <c r="A135480" s="17"/>
    </row>
    <row r="135772" spans="1:1" ht="17.100000000000001" customHeight="1" x14ac:dyDescent="0.3">
      <c r="A135772" s="17"/>
    </row>
    <row r="136064" spans="1:1" ht="17.100000000000001" customHeight="1" x14ac:dyDescent="0.3">
      <c r="A136064" s="17"/>
    </row>
    <row r="136356" spans="1:1" ht="17.100000000000001" customHeight="1" x14ac:dyDescent="0.3">
      <c r="A136356" s="17"/>
    </row>
    <row r="136648" spans="1:1" ht="17.100000000000001" customHeight="1" x14ac:dyDescent="0.3">
      <c r="A136648" s="17"/>
    </row>
    <row r="136940" spans="1:1" ht="17.100000000000001" customHeight="1" x14ac:dyDescent="0.3">
      <c r="A136940" s="17"/>
    </row>
    <row r="137232" spans="1:1" ht="17.100000000000001" customHeight="1" x14ac:dyDescent="0.3">
      <c r="A137232" s="17"/>
    </row>
    <row r="137524" spans="1:1" ht="17.100000000000001" customHeight="1" x14ac:dyDescent="0.3">
      <c r="A137524" s="17"/>
    </row>
    <row r="137816" spans="1:1" ht="17.100000000000001" customHeight="1" x14ac:dyDescent="0.3">
      <c r="A137816" s="17"/>
    </row>
    <row r="138108" spans="1:1" ht="17.100000000000001" customHeight="1" x14ac:dyDescent="0.3">
      <c r="A138108" s="17"/>
    </row>
    <row r="138400" spans="1:1" ht="17.100000000000001" customHeight="1" x14ac:dyDescent="0.3">
      <c r="A138400" s="17"/>
    </row>
    <row r="138692" spans="1:1" ht="17.100000000000001" customHeight="1" x14ac:dyDescent="0.3">
      <c r="A138692" s="17"/>
    </row>
    <row r="138984" spans="1:1" ht="17.100000000000001" customHeight="1" x14ac:dyDescent="0.3">
      <c r="A138984" s="17"/>
    </row>
    <row r="139276" spans="1:1" ht="17.100000000000001" customHeight="1" x14ac:dyDescent="0.3">
      <c r="A139276" s="17"/>
    </row>
    <row r="139568" spans="1:1" ht="17.100000000000001" customHeight="1" x14ac:dyDescent="0.3">
      <c r="A139568" s="17"/>
    </row>
    <row r="139860" spans="1:1" ht="17.100000000000001" customHeight="1" x14ac:dyDescent="0.3">
      <c r="A139860" s="17"/>
    </row>
    <row r="140152" spans="1:1" ht="17.100000000000001" customHeight="1" x14ac:dyDescent="0.3">
      <c r="A140152" s="17"/>
    </row>
    <row r="140444" spans="1:1" ht="17.100000000000001" customHeight="1" x14ac:dyDescent="0.3">
      <c r="A140444" s="17"/>
    </row>
    <row r="140736" spans="1:1" ht="17.100000000000001" customHeight="1" x14ac:dyDescent="0.3">
      <c r="A140736" s="17"/>
    </row>
    <row r="141028" spans="1:1" ht="17.100000000000001" customHeight="1" x14ac:dyDescent="0.3">
      <c r="A141028" s="17"/>
    </row>
    <row r="141320" spans="1:1" ht="17.100000000000001" customHeight="1" x14ac:dyDescent="0.3">
      <c r="A141320" s="17"/>
    </row>
    <row r="141612" spans="1:1" ht="17.100000000000001" customHeight="1" x14ac:dyDescent="0.3">
      <c r="A141612" s="17"/>
    </row>
    <row r="141904" spans="1:1" ht="17.100000000000001" customHeight="1" x14ac:dyDescent="0.3">
      <c r="A141904" s="17"/>
    </row>
    <row r="142196" spans="1:1" ht="17.100000000000001" customHeight="1" x14ac:dyDescent="0.3">
      <c r="A142196" s="17"/>
    </row>
    <row r="142488" spans="1:1" ht="17.100000000000001" customHeight="1" x14ac:dyDescent="0.3">
      <c r="A142488" s="17"/>
    </row>
    <row r="142780" spans="1:1" ht="17.100000000000001" customHeight="1" x14ac:dyDescent="0.3">
      <c r="A142780" s="17"/>
    </row>
    <row r="143072" spans="1:1" ht="17.100000000000001" customHeight="1" x14ac:dyDescent="0.3">
      <c r="A143072" s="17"/>
    </row>
    <row r="143364" spans="1:1" ht="17.100000000000001" customHeight="1" x14ac:dyDescent="0.3">
      <c r="A143364" s="17"/>
    </row>
    <row r="143656" spans="1:1" ht="17.100000000000001" customHeight="1" x14ac:dyDescent="0.3">
      <c r="A143656" s="17"/>
    </row>
    <row r="143948" spans="1:1" ht="17.100000000000001" customHeight="1" x14ac:dyDescent="0.3">
      <c r="A143948" s="17"/>
    </row>
    <row r="144240" spans="1:1" ht="17.100000000000001" customHeight="1" x14ac:dyDescent="0.3">
      <c r="A144240" s="17"/>
    </row>
    <row r="144532" spans="1:1" ht="17.100000000000001" customHeight="1" x14ac:dyDescent="0.3">
      <c r="A144532" s="17"/>
    </row>
    <row r="144824" spans="1:1" ht="17.100000000000001" customHeight="1" x14ac:dyDescent="0.3">
      <c r="A144824" s="17"/>
    </row>
    <row r="145116" spans="1:1" ht="17.100000000000001" customHeight="1" x14ac:dyDescent="0.3">
      <c r="A145116" s="17"/>
    </row>
    <row r="145408" spans="1:1" ht="17.100000000000001" customHeight="1" x14ac:dyDescent="0.3">
      <c r="A145408" s="17"/>
    </row>
    <row r="145700" spans="1:1" ht="17.100000000000001" customHeight="1" x14ac:dyDescent="0.3">
      <c r="A145700" s="17"/>
    </row>
    <row r="145992" spans="1:1" ht="17.100000000000001" customHeight="1" x14ac:dyDescent="0.3">
      <c r="A145992" s="17"/>
    </row>
    <row r="146284" spans="1:1" ht="17.100000000000001" customHeight="1" x14ac:dyDescent="0.3">
      <c r="A146284" s="17"/>
    </row>
    <row r="146576" spans="1:1" ht="17.100000000000001" customHeight="1" x14ac:dyDescent="0.3">
      <c r="A146576" s="17"/>
    </row>
    <row r="146868" spans="1:1" ht="17.100000000000001" customHeight="1" x14ac:dyDescent="0.3">
      <c r="A146868" s="17"/>
    </row>
    <row r="147160" spans="1:1" ht="17.100000000000001" customHeight="1" x14ac:dyDescent="0.3">
      <c r="A147160" s="17"/>
    </row>
    <row r="147452" spans="1:1" ht="17.100000000000001" customHeight="1" x14ac:dyDescent="0.3">
      <c r="A147452" s="17"/>
    </row>
    <row r="147744" spans="1:1" ht="17.100000000000001" customHeight="1" x14ac:dyDescent="0.3">
      <c r="A147744" s="17"/>
    </row>
    <row r="148036" spans="1:1" ht="17.100000000000001" customHeight="1" x14ac:dyDescent="0.3">
      <c r="A148036" s="17"/>
    </row>
    <row r="148328" spans="1:1" ht="17.100000000000001" customHeight="1" x14ac:dyDescent="0.3">
      <c r="A148328" s="17"/>
    </row>
    <row r="148620" spans="1:1" ht="17.100000000000001" customHeight="1" x14ac:dyDescent="0.3">
      <c r="A148620" s="17"/>
    </row>
    <row r="148912" spans="1:1" ht="17.100000000000001" customHeight="1" x14ac:dyDescent="0.3">
      <c r="A148912" s="17"/>
    </row>
    <row r="149204" spans="1:1" ht="17.100000000000001" customHeight="1" x14ac:dyDescent="0.3">
      <c r="A149204" s="17"/>
    </row>
    <row r="149496" spans="1:1" ht="17.100000000000001" customHeight="1" x14ac:dyDescent="0.3">
      <c r="A149496" s="17"/>
    </row>
    <row r="149788" spans="1:1" ht="17.100000000000001" customHeight="1" x14ac:dyDescent="0.3">
      <c r="A149788" s="17"/>
    </row>
    <row r="150080" spans="1:1" ht="17.100000000000001" customHeight="1" x14ac:dyDescent="0.3">
      <c r="A150080" s="17"/>
    </row>
    <row r="150372" spans="1:1" ht="17.100000000000001" customHeight="1" x14ac:dyDescent="0.3">
      <c r="A150372" s="17"/>
    </row>
    <row r="150664" spans="1:1" ht="17.100000000000001" customHeight="1" x14ac:dyDescent="0.3">
      <c r="A150664" s="17"/>
    </row>
    <row r="150956" spans="1:1" ht="17.100000000000001" customHeight="1" x14ac:dyDescent="0.3">
      <c r="A150956" s="17"/>
    </row>
    <row r="151248" spans="1:1" ht="17.100000000000001" customHeight="1" x14ac:dyDescent="0.3">
      <c r="A151248" s="17"/>
    </row>
    <row r="151540" spans="1:1" ht="17.100000000000001" customHeight="1" x14ac:dyDescent="0.3">
      <c r="A151540" s="17"/>
    </row>
    <row r="151832" spans="1:1" ht="17.100000000000001" customHeight="1" x14ac:dyDescent="0.3">
      <c r="A151832" s="17"/>
    </row>
    <row r="152124" spans="1:1" ht="17.100000000000001" customHeight="1" x14ac:dyDescent="0.3">
      <c r="A152124" s="17"/>
    </row>
    <row r="152416" spans="1:1" ht="17.100000000000001" customHeight="1" x14ac:dyDescent="0.3">
      <c r="A152416" s="17"/>
    </row>
    <row r="152708" spans="1:1" ht="17.100000000000001" customHeight="1" x14ac:dyDescent="0.3">
      <c r="A152708" s="17"/>
    </row>
    <row r="153000" spans="1:1" ht="17.100000000000001" customHeight="1" x14ac:dyDescent="0.3">
      <c r="A153000" s="17"/>
    </row>
    <row r="153292" spans="1:1" ht="17.100000000000001" customHeight="1" x14ac:dyDescent="0.3">
      <c r="A153292" s="17"/>
    </row>
    <row r="153584" spans="1:1" ht="17.100000000000001" customHeight="1" x14ac:dyDescent="0.3">
      <c r="A153584" s="17"/>
    </row>
    <row r="153876" spans="1:1" ht="17.100000000000001" customHeight="1" x14ac:dyDescent="0.3">
      <c r="A153876" s="17"/>
    </row>
    <row r="154168" spans="1:1" ht="17.100000000000001" customHeight="1" x14ac:dyDescent="0.3">
      <c r="A154168" s="17"/>
    </row>
    <row r="154460" spans="1:1" ht="17.100000000000001" customHeight="1" x14ac:dyDescent="0.3">
      <c r="A154460" s="17"/>
    </row>
    <row r="154752" spans="1:1" ht="17.100000000000001" customHeight="1" x14ac:dyDescent="0.3">
      <c r="A154752" s="17"/>
    </row>
    <row r="155044" spans="1:1" ht="17.100000000000001" customHeight="1" x14ac:dyDescent="0.3">
      <c r="A155044" s="17"/>
    </row>
    <row r="155336" spans="1:1" ht="17.100000000000001" customHeight="1" x14ac:dyDescent="0.3">
      <c r="A155336" s="17"/>
    </row>
    <row r="155628" spans="1:1" ht="17.100000000000001" customHeight="1" x14ac:dyDescent="0.3">
      <c r="A155628" s="17"/>
    </row>
    <row r="155920" spans="1:1" ht="17.100000000000001" customHeight="1" x14ac:dyDescent="0.3">
      <c r="A155920" s="17"/>
    </row>
    <row r="156212" spans="1:1" ht="17.100000000000001" customHeight="1" x14ac:dyDescent="0.3">
      <c r="A156212" s="17"/>
    </row>
    <row r="156504" spans="1:1" ht="17.100000000000001" customHeight="1" x14ac:dyDescent="0.3">
      <c r="A156504" s="17"/>
    </row>
    <row r="156796" spans="1:1" ht="17.100000000000001" customHeight="1" x14ac:dyDescent="0.3">
      <c r="A156796" s="17"/>
    </row>
    <row r="157088" spans="1:1" ht="17.100000000000001" customHeight="1" x14ac:dyDescent="0.3">
      <c r="A157088" s="17"/>
    </row>
    <row r="157380" spans="1:1" ht="17.100000000000001" customHeight="1" x14ac:dyDescent="0.3">
      <c r="A157380" s="17"/>
    </row>
    <row r="157672" spans="1:1" ht="17.100000000000001" customHeight="1" x14ac:dyDescent="0.3">
      <c r="A157672" s="17"/>
    </row>
    <row r="157964" spans="1:1" ht="17.100000000000001" customHeight="1" x14ac:dyDescent="0.3">
      <c r="A157964" s="17"/>
    </row>
    <row r="158256" spans="1:1" ht="17.100000000000001" customHeight="1" x14ac:dyDescent="0.3">
      <c r="A158256" s="17"/>
    </row>
    <row r="158548" spans="1:1" ht="17.100000000000001" customHeight="1" x14ac:dyDescent="0.3">
      <c r="A158548" s="17"/>
    </row>
    <row r="158840" spans="1:1" ht="17.100000000000001" customHeight="1" x14ac:dyDescent="0.3">
      <c r="A158840" s="17"/>
    </row>
    <row r="159132" spans="1:1" ht="17.100000000000001" customHeight="1" x14ac:dyDescent="0.3">
      <c r="A159132" s="17"/>
    </row>
    <row r="159424" spans="1:1" ht="17.100000000000001" customHeight="1" x14ac:dyDescent="0.3">
      <c r="A159424" s="17"/>
    </row>
    <row r="159716" spans="1:1" ht="17.100000000000001" customHeight="1" x14ac:dyDescent="0.3">
      <c r="A159716" s="17"/>
    </row>
    <row r="160008" spans="1:1" ht="17.100000000000001" customHeight="1" x14ac:dyDescent="0.3">
      <c r="A160008" s="17"/>
    </row>
    <row r="160300" spans="1:1" ht="17.100000000000001" customHeight="1" x14ac:dyDescent="0.3">
      <c r="A160300" s="17"/>
    </row>
    <row r="160592" spans="1:1" ht="17.100000000000001" customHeight="1" x14ac:dyDescent="0.3">
      <c r="A160592" s="17"/>
    </row>
    <row r="160884" spans="1:1" ht="17.100000000000001" customHeight="1" x14ac:dyDescent="0.3">
      <c r="A160884" s="17"/>
    </row>
    <row r="161176" spans="1:1" ht="17.100000000000001" customHeight="1" x14ac:dyDescent="0.3">
      <c r="A161176" s="17"/>
    </row>
    <row r="161468" spans="1:1" ht="17.100000000000001" customHeight="1" x14ac:dyDescent="0.3">
      <c r="A161468" s="17"/>
    </row>
    <row r="161760" spans="1:1" ht="17.100000000000001" customHeight="1" x14ac:dyDescent="0.3">
      <c r="A161760" s="17"/>
    </row>
    <row r="162052" spans="1:1" ht="17.100000000000001" customHeight="1" x14ac:dyDescent="0.3">
      <c r="A162052" s="17"/>
    </row>
    <row r="162344" spans="1:1" ht="17.100000000000001" customHeight="1" x14ac:dyDescent="0.3">
      <c r="A162344" s="17"/>
    </row>
    <row r="162636" spans="1:1" ht="17.100000000000001" customHeight="1" x14ac:dyDescent="0.3">
      <c r="A162636" s="17"/>
    </row>
    <row r="162928" spans="1:1" ht="17.100000000000001" customHeight="1" x14ac:dyDescent="0.3">
      <c r="A162928" s="17"/>
    </row>
    <row r="163220" spans="1:1" ht="17.100000000000001" customHeight="1" x14ac:dyDescent="0.3">
      <c r="A163220" s="17"/>
    </row>
    <row r="163512" spans="1:1" ht="17.100000000000001" customHeight="1" x14ac:dyDescent="0.3">
      <c r="A163512" s="17"/>
    </row>
    <row r="163804" spans="1:1" ht="17.100000000000001" customHeight="1" x14ac:dyDescent="0.3">
      <c r="A163804" s="17"/>
    </row>
    <row r="164096" spans="1:1" ht="17.100000000000001" customHeight="1" x14ac:dyDescent="0.3">
      <c r="A164096" s="17"/>
    </row>
    <row r="164388" spans="1:1" ht="17.100000000000001" customHeight="1" x14ac:dyDescent="0.3">
      <c r="A164388" s="17"/>
    </row>
    <row r="164680" spans="1:1" ht="17.100000000000001" customHeight="1" x14ac:dyDescent="0.3">
      <c r="A164680" s="17"/>
    </row>
    <row r="164972" spans="1:1" ht="17.100000000000001" customHeight="1" x14ac:dyDescent="0.3">
      <c r="A164972" s="17"/>
    </row>
    <row r="165264" spans="1:1" ht="17.100000000000001" customHeight="1" x14ac:dyDescent="0.3">
      <c r="A165264" s="17"/>
    </row>
    <row r="165556" spans="1:1" ht="17.100000000000001" customHeight="1" x14ac:dyDescent="0.3">
      <c r="A165556" s="17"/>
    </row>
    <row r="165848" spans="1:1" ht="17.100000000000001" customHeight="1" x14ac:dyDescent="0.3">
      <c r="A165848" s="17"/>
    </row>
    <row r="166140" spans="1:1" ht="17.100000000000001" customHeight="1" x14ac:dyDescent="0.3">
      <c r="A166140" s="17"/>
    </row>
    <row r="166432" spans="1:1" ht="17.100000000000001" customHeight="1" x14ac:dyDescent="0.3">
      <c r="A166432" s="17"/>
    </row>
    <row r="166724" spans="1:1" ht="17.100000000000001" customHeight="1" x14ac:dyDescent="0.3">
      <c r="A166724" s="17"/>
    </row>
    <row r="167016" spans="1:1" ht="17.100000000000001" customHeight="1" x14ac:dyDescent="0.3">
      <c r="A167016" s="17"/>
    </row>
    <row r="167308" spans="1:1" ht="17.100000000000001" customHeight="1" x14ac:dyDescent="0.3">
      <c r="A167308" s="17"/>
    </row>
    <row r="167600" spans="1:1" ht="17.100000000000001" customHeight="1" x14ac:dyDescent="0.3">
      <c r="A167600" s="17"/>
    </row>
    <row r="167892" spans="1:1" ht="17.100000000000001" customHeight="1" x14ac:dyDescent="0.3">
      <c r="A167892" s="17"/>
    </row>
    <row r="168184" spans="1:1" ht="17.100000000000001" customHeight="1" x14ac:dyDescent="0.3">
      <c r="A168184" s="17"/>
    </row>
    <row r="168476" spans="1:1" ht="17.100000000000001" customHeight="1" x14ac:dyDescent="0.3">
      <c r="A168476" s="17"/>
    </row>
    <row r="168768" spans="1:1" ht="17.100000000000001" customHeight="1" x14ac:dyDescent="0.3">
      <c r="A168768" s="17"/>
    </row>
    <row r="169060" spans="1:1" ht="17.100000000000001" customHeight="1" x14ac:dyDescent="0.3">
      <c r="A169060" s="17"/>
    </row>
    <row r="169352" spans="1:1" ht="17.100000000000001" customHeight="1" x14ac:dyDescent="0.3">
      <c r="A169352" s="17"/>
    </row>
    <row r="169644" spans="1:1" ht="17.100000000000001" customHeight="1" x14ac:dyDescent="0.3">
      <c r="A169644" s="17"/>
    </row>
    <row r="169936" spans="1:1" ht="17.100000000000001" customHeight="1" x14ac:dyDescent="0.3">
      <c r="A169936" s="17"/>
    </row>
    <row r="170228" spans="1:1" ht="17.100000000000001" customHeight="1" x14ac:dyDescent="0.3">
      <c r="A170228" s="17"/>
    </row>
    <row r="170520" spans="1:1" ht="17.100000000000001" customHeight="1" x14ac:dyDescent="0.3">
      <c r="A170520" s="17"/>
    </row>
    <row r="170812" spans="1:1" ht="17.100000000000001" customHeight="1" x14ac:dyDescent="0.3">
      <c r="A170812" s="17"/>
    </row>
    <row r="171104" spans="1:1" ht="17.100000000000001" customHeight="1" x14ac:dyDescent="0.3">
      <c r="A171104" s="17"/>
    </row>
    <row r="171396" spans="1:1" ht="17.100000000000001" customHeight="1" x14ac:dyDescent="0.3">
      <c r="A171396" s="17"/>
    </row>
    <row r="171688" spans="1:1" ht="17.100000000000001" customHeight="1" x14ac:dyDescent="0.3">
      <c r="A171688" s="17"/>
    </row>
    <row r="171980" spans="1:1" ht="17.100000000000001" customHeight="1" x14ac:dyDescent="0.3">
      <c r="A171980" s="17"/>
    </row>
    <row r="172272" spans="1:1" ht="17.100000000000001" customHeight="1" x14ac:dyDescent="0.3">
      <c r="A172272" s="17"/>
    </row>
    <row r="172564" spans="1:1" ht="17.100000000000001" customHeight="1" x14ac:dyDescent="0.3">
      <c r="A172564" s="17"/>
    </row>
    <row r="172856" spans="1:1" ht="17.100000000000001" customHeight="1" x14ac:dyDescent="0.3">
      <c r="A172856" s="17"/>
    </row>
    <row r="173148" spans="1:1" ht="17.100000000000001" customHeight="1" x14ac:dyDescent="0.3">
      <c r="A173148" s="17"/>
    </row>
    <row r="173440" spans="1:1" ht="17.100000000000001" customHeight="1" x14ac:dyDescent="0.3">
      <c r="A173440" s="17"/>
    </row>
    <row r="173732" spans="1:1" ht="17.100000000000001" customHeight="1" x14ac:dyDescent="0.3">
      <c r="A173732" s="17"/>
    </row>
    <row r="174024" spans="1:1" ht="17.100000000000001" customHeight="1" x14ac:dyDescent="0.3">
      <c r="A174024" s="17"/>
    </row>
    <row r="174316" spans="1:1" ht="17.100000000000001" customHeight="1" x14ac:dyDescent="0.3">
      <c r="A174316" s="17"/>
    </row>
    <row r="174608" spans="1:1" ht="17.100000000000001" customHeight="1" x14ac:dyDescent="0.3">
      <c r="A174608" s="17"/>
    </row>
    <row r="174900" spans="1:1" ht="17.100000000000001" customHeight="1" x14ac:dyDescent="0.3">
      <c r="A174900" s="17"/>
    </row>
    <row r="175192" spans="1:1" ht="17.100000000000001" customHeight="1" x14ac:dyDescent="0.3">
      <c r="A175192" s="17"/>
    </row>
    <row r="175484" spans="1:1" ht="17.100000000000001" customHeight="1" x14ac:dyDescent="0.3">
      <c r="A175484" s="17"/>
    </row>
    <row r="175776" spans="1:1" ht="17.100000000000001" customHeight="1" x14ac:dyDescent="0.3">
      <c r="A175776" s="17"/>
    </row>
    <row r="176068" spans="1:1" ht="17.100000000000001" customHeight="1" x14ac:dyDescent="0.3">
      <c r="A176068" s="17"/>
    </row>
    <row r="176360" spans="1:1" ht="17.100000000000001" customHeight="1" x14ac:dyDescent="0.3">
      <c r="A176360" s="17"/>
    </row>
    <row r="176652" spans="1:1" ht="17.100000000000001" customHeight="1" x14ac:dyDescent="0.3">
      <c r="A176652" s="17"/>
    </row>
    <row r="176944" spans="1:1" ht="17.100000000000001" customHeight="1" x14ac:dyDescent="0.3">
      <c r="A176944" s="17"/>
    </row>
    <row r="177236" spans="1:1" ht="17.100000000000001" customHeight="1" x14ac:dyDescent="0.3">
      <c r="A177236" s="17"/>
    </row>
    <row r="177528" spans="1:1" ht="17.100000000000001" customHeight="1" x14ac:dyDescent="0.3">
      <c r="A177528" s="17"/>
    </row>
    <row r="177820" spans="1:1" ht="17.100000000000001" customHeight="1" x14ac:dyDescent="0.3">
      <c r="A177820" s="17"/>
    </row>
    <row r="178112" spans="1:1" ht="17.100000000000001" customHeight="1" x14ac:dyDescent="0.3">
      <c r="A178112" s="17"/>
    </row>
    <row r="178404" spans="1:1" ht="17.100000000000001" customHeight="1" x14ac:dyDescent="0.3">
      <c r="A178404" s="17"/>
    </row>
    <row r="178696" spans="1:1" ht="17.100000000000001" customHeight="1" x14ac:dyDescent="0.3">
      <c r="A178696" s="17"/>
    </row>
    <row r="178988" spans="1:1" ht="17.100000000000001" customHeight="1" x14ac:dyDescent="0.3">
      <c r="A178988" s="17"/>
    </row>
    <row r="179280" spans="1:1" ht="17.100000000000001" customHeight="1" x14ac:dyDescent="0.3">
      <c r="A179280" s="17"/>
    </row>
    <row r="179572" spans="1:1" ht="17.100000000000001" customHeight="1" x14ac:dyDescent="0.3">
      <c r="A179572" s="17"/>
    </row>
    <row r="179864" spans="1:1" ht="17.100000000000001" customHeight="1" x14ac:dyDescent="0.3">
      <c r="A179864" s="17"/>
    </row>
    <row r="180156" spans="1:1" ht="17.100000000000001" customHeight="1" x14ac:dyDescent="0.3">
      <c r="A180156" s="17"/>
    </row>
    <row r="180448" spans="1:1" ht="17.100000000000001" customHeight="1" x14ac:dyDescent="0.3">
      <c r="A180448" s="17"/>
    </row>
    <row r="180740" spans="1:1" ht="17.100000000000001" customHeight="1" x14ac:dyDescent="0.3">
      <c r="A180740" s="17"/>
    </row>
    <row r="181032" spans="1:1" ht="17.100000000000001" customHeight="1" x14ac:dyDescent="0.3">
      <c r="A181032" s="17"/>
    </row>
    <row r="181324" spans="1:1" ht="17.100000000000001" customHeight="1" x14ac:dyDescent="0.3">
      <c r="A181324" s="17"/>
    </row>
    <row r="181616" spans="1:1" ht="17.100000000000001" customHeight="1" x14ac:dyDescent="0.3">
      <c r="A181616" s="17"/>
    </row>
    <row r="181908" spans="1:1" ht="17.100000000000001" customHeight="1" x14ac:dyDescent="0.3">
      <c r="A181908" s="17"/>
    </row>
    <row r="182200" spans="1:1" ht="17.100000000000001" customHeight="1" x14ac:dyDescent="0.3">
      <c r="A182200" s="17"/>
    </row>
    <row r="182492" spans="1:1" ht="17.100000000000001" customHeight="1" x14ac:dyDescent="0.3">
      <c r="A182492" s="17"/>
    </row>
    <row r="182784" spans="1:1" ht="17.100000000000001" customHeight="1" x14ac:dyDescent="0.3">
      <c r="A182784" s="17"/>
    </row>
    <row r="183076" spans="1:1" ht="17.100000000000001" customHeight="1" x14ac:dyDescent="0.3">
      <c r="A183076" s="17"/>
    </row>
    <row r="183368" spans="1:1" ht="17.100000000000001" customHeight="1" x14ac:dyDescent="0.3">
      <c r="A183368" s="17"/>
    </row>
    <row r="183660" spans="1:1" ht="17.100000000000001" customHeight="1" x14ac:dyDescent="0.3">
      <c r="A183660" s="17"/>
    </row>
    <row r="183952" spans="1:1" ht="17.100000000000001" customHeight="1" x14ac:dyDescent="0.3">
      <c r="A183952" s="17"/>
    </row>
    <row r="184244" spans="1:1" ht="17.100000000000001" customHeight="1" x14ac:dyDescent="0.3">
      <c r="A184244" s="17"/>
    </row>
    <row r="184536" spans="1:1" ht="17.100000000000001" customHeight="1" x14ac:dyDescent="0.3">
      <c r="A184536" s="17"/>
    </row>
    <row r="184828" spans="1:1" ht="17.100000000000001" customHeight="1" x14ac:dyDescent="0.3">
      <c r="A184828" s="17"/>
    </row>
    <row r="185120" spans="1:1" ht="17.100000000000001" customHeight="1" x14ac:dyDescent="0.3">
      <c r="A185120" s="17"/>
    </row>
    <row r="185412" spans="1:1" ht="17.100000000000001" customHeight="1" x14ac:dyDescent="0.3">
      <c r="A185412" s="17"/>
    </row>
    <row r="185704" spans="1:1" ht="17.100000000000001" customHeight="1" x14ac:dyDescent="0.3">
      <c r="A185704" s="17"/>
    </row>
    <row r="185996" spans="1:1" ht="17.100000000000001" customHeight="1" x14ac:dyDescent="0.3">
      <c r="A185996" s="17"/>
    </row>
    <row r="186288" spans="1:1" ht="17.100000000000001" customHeight="1" x14ac:dyDescent="0.3">
      <c r="A186288" s="17"/>
    </row>
    <row r="186580" spans="1:1" ht="17.100000000000001" customHeight="1" x14ac:dyDescent="0.3">
      <c r="A186580" s="17"/>
    </row>
    <row r="186872" spans="1:1" ht="17.100000000000001" customHeight="1" x14ac:dyDescent="0.3">
      <c r="A186872" s="17"/>
    </row>
    <row r="187164" spans="1:1" ht="17.100000000000001" customHeight="1" x14ac:dyDescent="0.3">
      <c r="A187164" s="17"/>
    </row>
    <row r="187456" spans="1:1" ht="17.100000000000001" customHeight="1" x14ac:dyDescent="0.3">
      <c r="A187456" s="17"/>
    </row>
    <row r="187748" spans="1:1" ht="17.100000000000001" customHeight="1" x14ac:dyDescent="0.3">
      <c r="A187748" s="17"/>
    </row>
    <row r="188040" spans="1:1" ht="17.100000000000001" customHeight="1" x14ac:dyDescent="0.3">
      <c r="A188040" s="17"/>
    </row>
    <row r="188332" spans="1:1" ht="17.100000000000001" customHeight="1" x14ac:dyDescent="0.3">
      <c r="A188332" s="17"/>
    </row>
    <row r="188624" spans="1:1" ht="17.100000000000001" customHeight="1" x14ac:dyDescent="0.3">
      <c r="A188624" s="17"/>
    </row>
    <row r="188916" spans="1:1" ht="17.100000000000001" customHeight="1" x14ac:dyDescent="0.3">
      <c r="A188916" s="17"/>
    </row>
    <row r="189208" spans="1:1" ht="17.100000000000001" customHeight="1" x14ac:dyDescent="0.3">
      <c r="A189208" s="17"/>
    </row>
    <row r="189500" spans="1:1" ht="17.100000000000001" customHeight="1" x14ac:dyDescent="0.3">
      <c r="A189500" s="17"/>
    </row>
    <row r="189792" spans="1:1" ht="17.100000000000001" customHeight="1" x14ac:dyDescent="0.3">
      <c r="A189792" s="17"/>
    </row>
    <row r="190084" spans="1:1" ht="17.100000000000001" customHeight="1" x14ac:dyDescent="0.3">
      <c r="A190084" s="17"/>
    </row>
    <row r="190376" spans="1:1" ht="17.100000000000001" customHeight="1" x14ac:dyDescent="0.3">
      <c r="A190376" s="17"/>
    </row>
    <row r="190668" spans="1:1" ht="17.100000000000001" customHeight="1" x14ac:dyDescent="0.3">
      <c r="A190668" s="17"/>
    </row>
    <row r="190960" spans="1:1" ht="17.100000000000001" customHeight="1" x14ac:dyDescent="0.3">
      <c r="A190960" s="17"/>
    </row>
    <row r="191252" spans="1:1" ht="17.100000000000001" customHeight="1" x14ac:dyDescent="0.3">
      <c r="A191252" s="17"/>
    </row>
    <row r="191544" spans="1:1" ht="17.100000000000001" customHeight="1" x14ac:dyDescent="0.3">
      <c r="A191544" s="17"/>
    </row>
    <row r="191836" spans="1:1" ht="17.100000000000001" customHeight="1" x14ac:dyDescent="0.3">
      <c r="A191836" s="17"/>
    </row>
    <row r="192128" spans="1:1" ht="17.100000000000001" customHeight="1" x14ac:dyDescent="0.3">
      <c r="A192128" s="17"/>
    </row>
    <row r="192420" spans="1:1" ht="17.100000000000001" customHeight="1" x14ac:dyDescent="0.3">
      <c r="A192420" s="17"/>
    </row>
    <row r="192712" spans="1:1" ht="17.100000000000001" customHeight="1" x14ac:dyDescent="0.3">
      <c r="A192712" s="17"/>
    </row>
    <row r="193004" spans="1:1" ht="17.100000000000001" customHeight="1" x14ac:dyDescent="0.3">
      <c r="A193004" s="17"/>
    </row>
    <row r="193296" spans="1:1" ht="17.100000000000001" customHeight="1" x14ac:dyDescent="0.3">
      <c r="A193296" s="17"/>
    </row>
    <row r="193588" spans="1:1" ht="17.100000000000001" customHeight="1" x14ac:dyDescent="0.3">
      <c r="A193588" s="17"/>
    </row>
    <row r="193880" spans="1:1" ht="17.100000000000001" customHeight="1" x14ac:dyDescent="0.3">
      <c r="A193880" s="17"/>
    </row>
    <row r="194172" spans="1:1" ht="17.100000000000001" customHeight="1" x14ac:dyDescent="0.3">
      <c r="A194172" s="17"/>
    </row>
    <row r="194464" spans="1:1" ht="17.100000000000001" customHeight="1" x14ac:dyDescent="0.3">
      <c r="A194464" s="17"/>
    </row>
    <row r="194756" spans="1:1" ht="17.100000000000001" customHeight="1" x14ac:dyDescent="0.3">
      <c r="A194756" s="17"/>
    </row>
    <row r="195048" spans="1:1" ht="17.100000000000001" customHeight="1" x14ac:dyDescent="0.3">
      <c r="A195048" s="17"/>
    </row>
    <row r="195340" spans="1:1" ht="17.100000000000001" customHeight="1" x14ac:dyDescent="0.3">
      <c r="A195340" s="17"/>
    </row>
    <row r="195632" spans="1:1" ht="17.100000000000001" customHeight="1" x14ac:dyDescent="0.3">
      <c r="A195632" s="17"/>
    </row>
    <row r="195924" spans="1:1" ht="17.100000000000001" customHeight="1" x14ac:dyDescent="0.3">
      <c r="A195924" s="17"/>
    </row>
    <row r="196216" spans="1:1" ht="17.100000000000001" customHeight="1" x14ac:dyDescent="0.3">
      <c r="A196216" s="17"/>
    </row>
    <row r="196508" spans="1:1" ht="17.100000000000001" customHeight="1" x14ac:dyDescent="0.3">
      <c r="A196508" s="17"/>
    </row>
    <row r="196800" spans="1:1" ht="17.100000000000001" customHeight="1" x14ac:dyDescent="0.3">
      <c r="A196800" s="17"/>
    </row>
    <row r="197092" spans="1:1" ht="17.100000000000001" customHeight="1" x14ac:dyDescent="0.3">
      <c r="A197092" s="17"/>
    </row>
    <row r="197384" spans="1:1" ht="17.100000000000001" customHeight="1" x14ac:dyDescent="0.3">
      <c r="A197384" s="17"/>
    </row>
    <row r="197676" spans="1:1" ht="17.100000000000001" customHeight="1" x14ac:dyDescent="0.3">
      <c r="A197676" s="17"/>
    </row>
    <row r="197968" spans="1:1" ht="17.100000000000001" customHeight="1" x14ac:dyDescent="0.3">
      <c r="A197968" s="17"/>
    </row>
    <row r="198260" spans="1:1" ht="17.100000000000001" customHeight="1" x14ac:dyDescent="0.3">
      <c r="A198260" s="17"/>
    </row>
    <row r="198552" spans="1:1" ht="17.100000000000001" customHeight="1" x14ac:dyDescent="0.3">
      <c r="A198552" s="17"/>
    </row>
    <row r="198844" spans="1:1" ht="17.100000000000001" customHeight="1" x14ac:dyDescent="0.3">
      <c r="A198844" s="17"/>
    </row>
    <row r="199136" spans="1:1" ht="17.100000000000001" customHeight="1" x14ac:dyDescent="0.3">
      <c r="A199136" s="17"/>
    </row>
    <row r="199428" spans="1:1" ht="17.100000000000001" customHeight="1" x14ac:dyDescent="0.3">
      <c r="A199428" s="17"/>
    </row>
    <row r="199720" spans="1:1" ht="17.100000000000001" customHeight="1" x14ac:dyDescent="0.3">
      <c r="A199720" s="17"/>
    </row>
    <row r="200012" spans="1:1" ht="17.100000000000001" customHeight="1" x14ac:dyDescent="0.3">
      <c r="A200012" s="17"/>
    </row>
    <row r="200304" spans="1:1" ht="17.100000000000001" customHeight="1" x14ac:dyDescent="0.3">
      <c r="A200304" s="17"/>
    </row>
    <row r="200596" spans="1:1" ht="17.100000000000001" customHeight="1" x14ac:dyDescent="0.3">
      <c r="A200596" s="17"/>
    </row>
    <row r="200888" spans="1:1" ht="17.100000000000001" customHeight="1" x14ac:dyDescent="0.3">
      <c r="A200888" s="17"/>
    </row>
    <row r="201180" spans="1:1" ht="17.100000000000001" customHeight="1" x14ac:dyDescent="0.3">
      <c r="A201180" s="17"/>
    </row>
    <row r="201472" spans="1:1" ht="17.100000000000001" customHeight="1" x14ac:dyDescent="0.3">
      <c r="A201472" s="17"/>
    </row>
    <row r="201764" spans="1:1" ht="17.100000000000001" customHeight="1" x14ac:dyDescent="0.3">
      <c r="A201764" s="17"/>
    </row>
    <row r="202056" spans="1:1" ht="17.100000000000001" customHeight="1" x14ac:dyDescent="0.3">
      <c r="A202056" s="17"/>
    </row>
    <row r="202348" spans="1:1" ht="17.100000000000001" customHeight="1" x14ac:dyDescent="0.3">
      <c r="A202348" s="17"/>
    </row>
    <row r="202640" spans="1:1" ht="17.100000000000001" customHeight="1" x14ac:dyDescent="0.3">
      <c r="A202640" s="17"/>
    </row>
    <row r="202932" spans="1:1" ht="17.100000000000001" customHeight="1" x14ac:dyDescent="0.3">
      <c r="A202932" s="17"/>
    </row>
    <row r="203224" spans="1:1" ht="17.100000000000001" customHeight="1" x14ac:dyDescent="0.3">
      <c r="A203224" s="17"/>
    </row>
    <row r="203516" spans="1:1" ht="17.100000000000001" customHeight="1" x14ac:dyDescent="0.3">
      <c r="A203516" s="17"/>
    </row>
    <row r="203808" spans="1:1" ht="17.100000000000001" customHeight="1" x14ac:dyDescent="0.3">
      <c r="A203808" s="17"/>
    </row>
    <row r="204100" spans="1:1" ht="17.100000000000001" customHeight="1" x14ac:dyDescent="0.3">
      <c r="A204100" s="17"/>
    </row>
    <row r="204392" spans="1:1" ht="17.100000000000001" customHeight="1" x14ac:dyDescent="0.3">
      <c r="A204392" s="17"/>
    </row>
    <row r="204684" spans="1:1" ht="17.100000000000001" customHeight="1" x14ac:dyDescent="0.3">
      <c r="A204684" s="17"/>
    </row>
    <row r="204976" spans="1:1" ht="17.100000000000001" customHeight="1" x14ac:dyDescent="0.3">
      <c r="A204976" s="17"/>
    </row>
    <row r="205268" spans="1:1" ht="17.100000000000001" customHeight="1" x14ac:dyDescent="0.3">
      <c r="A205268" s="17"/>
    </row>
    <row r="205560" spans="1:1" ht="17.100000000000001" customHeight="1" x14ac:dyDescent="0.3">
      <c r="A205560" s="17"/>
    </row>
    <row r="205852" spans="1:1" ht="17.100000000000001" customHeight="1" x14ac:dyDescent="0.3">
      <c r="A205852" s="17"/>
    </row>
    <row r="206144" spans="1:1" ht="17.100000000000001" customHeight="1" x14ac:dyDescent="0.3">
      <c r="A206144" s="17"/>
    </row>
    <row r="206436" spans="1:1" ht="17.100000000000001" customHeight="1" x14ac:dyDescent="0.3">
      <c r="A206436" s="17"/>
    </row>
    <row r="206728" spans="1:1" ht="17.100000000000001" customHeight="1" x14ac:dyDescent="0.3">
      <c r="A206728" s="17"/>
    </row>
    <row r="207020" spans="1:1" ht="17.100000000000001" customHeight="1" x14ac:dyDescent="0.3">
      <c r="A207020" s="17"/>
    </row>
    <row r="207312" spans="1:1" ht="17.100000000000001" customHeight="1" x14ac:dyDescent="0.3">
      <c r="A207312" s="17"/>
    </row>
    <row r="207604" spans="1:1" ht="17.100000000000001" customHeight="1" x14ac:dyDescent="0.3">
      <c r="A207604" s="17"/>
    </row>
    <row r="207896" spans="1:1" ht="17.100000000000001" customHeight="1" x14ac:dyDescent="0.3">
      <c r="A207896" s="17"/>
    </row>
    <row r="208188" spans="1:1" ht="17.100000000000001" customHeight="1" x14ac:dyDescent="0.3">
      <c r="A208188" s="17"/>
    </row>
    <row r="208480" spans="1:1" ht="17.100000000000001" customHeight="1" x14ac:dyDescent="0.3">
      <c r="A208480" s="17"/>
    </row>
    <row r="208772" spans="1:1" ht="17.100000000000001" customHeight="1" x14ac:dyDescent="0.3">
      <c r="A208772" s="17"/>
    </row>
    <row r="209064" spans="1:1" ht="17.100000000000001" customHeight="1" x14ac:dyDescent="0.3">
      <c r="A209064" s="17"/>
    </row>
    <row r="209356" spans="1:1" ht="17.100000000000001" customHeight="1" x14ac:dyDescent="0.3">
      <c r="A209356" s="17"/>
    </row>
    <row r="209648" spans="1:1" ht="17.100000000000001" customHeight="1" x14ac:dyDescent="0.3">
      <c r="A209648" s="17"/>
    </row>
    <row r="209940" spans="1:1" ht="17.100000000000001" customHeight="1" x14ac:dyDescent="0.3">
      <c r="A209940" s="17"/>
    </row>
    <row r="210232" spans="1:1" ht="17.100000000000001" customHeight="1" x14ac:dyDescent="0.3">
      <c r="A210232" s="17"/>
    </row>
    <row r="210524" spans="1:1" ht="17.100000000000001" customHeight="1" x14ac:dyDescent="0.3">
      <c r="A210524" s="17"/>
    </row>
    <row r="210816" spans="1:1" ht="17.100000000000001" customHeight="1" x14ac:dyDescent="0.3">
      <c r="A210816" s="17"/>
    </row>
    <row r="211108" spans="1:1" ht="17.100000000000001" customHeight="1" x14ac:dyDescent="0.3">
      <c r="A211108" s="17"/>
    </row>
    <row r="211400" spans="1:1" ht="17.100000000000001" customHeight="1" x14ac:dyDescent="0.3">
      <c r="A211400" s="17"/>
    </row>
    <row r="211692" spans="1:1" ht="17.100000000000001" customHeight="1" x14ac:dyDescent="0.3">
      <c r="A211692" s="17"/>
    </row>
    <row r="211984" spans="1:1" ht="17.100000000000001" customHeight="1" x14ac:dyDescent="0.3">
      <c r="A211984" s="17"/>
    </row>
    <row r="212276" spans="1:1" ht="17.100000000000001" customHeight="1" x14ac:dyDescent="0.3">
      <c r="A212276" s="17"/>
    </row>
    <row r="212568" spans="1:1" ht="17.100000000000001" customHeight="1" x14ac:dyDescent="0.3">
      <c r="A212568" s="17"/>
    </row>
    <row r="212860" spans="1:1" ht="17.100000000000001" customHeight="1" x14ac:dyDescent="0.3">
      <c r="A212860" s="17"/>
    </row>
    <row r="213152" spans="1:1" ht="17.100000000000001" customHeight="1" x14ac:dyDescent="0.3">
      <c r="A213152" s="17"/>
    </row>
    <row r="213444" spans="1:1" ht="17.100000000000001" customHeight="1" x14ac:dyDescent="0.3">
      <c r="A213444" s="17"/>
    </row>
    <row r="213736" spans="1:1" ht="17.100000000000001" customHeight="1" x14ac:dyDescent="0.3">
      <c r="A213736" s="17"/>
    </row>
    <row r="214028" spans="1:1" ht="17.100000000000001" customHeight="1" x14ac:dyDescent="0.3">
      <c r="A214028" s="17"/>
    </row>
    <row r="214320" spans="1:1" ht="17.100000000000001" customHeight="1" x14ac:dyDescent="0.3">
      <c r="A214320" s="17"/>
    </row>
    <row r="214612" spans="1:1" ht="17.100000000000001" customHeight="1" x14ac:dyDescent="0.3">
      <c r="A214612" s="17"/>
    </row>
    <row r="214904" spans="1:1" ht="17.100000000000001" customHeight="1" x14ac:dyDescent="0.3">
      <c r="A214904" s="17"/>
    </row>
    <row r="215196" spans="1:1" ht="17.100000000000001" customHeight="1" x14ac:dyDescent="0.3">
      <c r="A215196" s="17"/>
    </row>
    <row r="215488" spans="1:1" ht="17.100000000000001" customHeight="1" x14ac:dyDescent="0.3">
      <c r="A215488" s="17"/>
    </row>
    <row r="215780" spans="1:1" ht="17.100000000000001" customHeight="1" x14ac:dyDescent="0.3">
      <c r="A215780" s="17"/>
    </row>
    <row r="216072" spans="1:1" ht="17.100000000000001" customHeight="1" x14ac:dyDescent="0.3">
      <c r="A216072" s="17"/>
    </row>
    <row r="216364" spans="1:1" ht="17.100000000000001" customHeight="1" x14ac:dyDescent="0.3">
      <c r="A216364" s="17"/>
    </row>
    <row r="216656" spans="1:1" ht="17.100000000000001" customHeight="1" x14ac:dyDescent="0.3">
      <c r="A216656" s="17"/>
    </row>
    <row r="216948" spans="1:1" ht="17.100000000000001" customHeight="1" x14ac:dyDescent="0.3">
      <c r="A216948" s="17"/>
    </row>
    <row r="217240" spans="1:1" ht="17.100000000000001" customHeight="1" x14ac:dyDescent="0.3">
      <c r="A217240" s="17"/>
    </row>
    <row r="217532" spans="1:1" ht="17.100000000000001" customHeight="1" x14ac:dyDescent="0.3">
      <c r="A217532" s="17"/>
    </row>
    <row r="217824" spans="1:1" ht="17.100000000000001" customHeight="1" x14ac:dyDescent="0.3">
      <c r="A217824" s="17"/>
    </row>
    <row r="218116" spans="1:1" ht="17.100000000000001" customHeight="1" x14ac:dyDescent="0.3">
      <c r="A218116" s="17"/>
    </row>
    <row r="218408" spans="1:1" ht="17.100000000000001" customHeight="1" x14ac:dyDescent="0.3">
      <c r="A218408" s="17"/>
    </row>
    <row r="218700" spans="1:1" ht="17.100000000000001" customHeight="1" x14ac:dyDescent="0.3">
      <c r="A218700" s="17"/>
    </row>
    <row r="218992" spans="1:1" ht="17.100000000000001" customHeight="1" x14ac:dyDescent="0.3">
      <c r="A218992" s="17"/>
    </row>
    <row r="219284" spans="1:1" ht="17.100000000000001" customHeight="1" x14ac:dyDescent="0.3">
      <c r="A219284" s="17"/>
    </row>
    <row r="219576" spans="1:1" ht="17.100000000000001" customHeight="1" x14ac:dyDescent="0.3">
      <c r="A219576" s="17"/>
    </row>
    <row r="219868" spans="1:1" ht="17.100000000000001" customHeight="1" x14ac:dyDescent="0.3">
      <c r="A219868" s="17"/>
    </row>
    <row r="220160" spans="1:1" ht="17.100000000000001" customHeight="1" x14ac:dyDescent="0.3">
      <c r="A220160" s="17"/>
    </row>
    <row r="220452" spans="1:1" ht="17.100000000000001" customHeight="1" x14ac:dyDescent="0.3">
      <c r="A220452" s="17"/>
    </row>
    <row r="220744" spans="1:1" ht="17.100000000000001" customHeight="1" x14ac:dyDescent="0.3">
      <c r="A220744" s="17"/>
    </row>
    <row r="221036" spans="1:1" ht="17.100000000000001" customHeight="1" x14ac:dyDescent="0.3">
      <c r="A221036" s="17"/>
    </row>
    <row r="221328" spans="1:1" ht="17.100000000000001" customHeight="1" x14ac:dyDescent="0.3">
      <c r="A221328" s="17"/>
    </row>
    <row r="221620" spans="1:1" ht="17.100000000000001" customHeight="1" x14ac:dyDescent="0.3">
      <c r="A221620" s="17"/>
    </row>
    <row r="221912" spans="1:1" ht="17.100000000000001" customHeight="1" x14ac:dyDescent="0.3">
      <c r="A221912" s="17"/>
    </row>
    <row r="222204" spans="1:1" ht="17.100000000000001" customHeight="1" x14ac:dyDescent="0.3">
      <c r="A222204" s="17"/>
    </row>
    <row r="222496" spans="1:1" ht="17.100000000000001" customHeight="1" x14ac:dyDescent="0.3">
      <c r="A222496" s="17"/>
    </row>
    <row r="222788" spans="1:1" ht="17.100000000000001" customHeight="1" x14ac:dyDescent="0.3">
      <c r="A222788" s="17"/>
    </row>
    <row r="223080" spans="1:1" ht="17.100000000000001" customHeight="1" x14ac:dyDescent="0.3">
      <c r="A223080" s="17"/>
    </row>
    <row r="223372" spans="1:1" ht="17.100000000000001" customHeight="1" x14ac:dyDescent="0.3">
      <c r="A223372" s="17"/>
    </row>
    <row r="223664" spans="1:1" ht="17.100000000000001" customHeight="1" x14ac:dyDescent="0.3">
      <c r="A223664" s="17"/>
    </row>
    <row r="223956" spans="1:1" ht="17.100000000000001" customHeight="1" x14ac:dyDescent="0.3">
      <c r="A223956" s="17"/>
    </row>
    <row r="224248" spans="1:1" ht="17.100000000000001" customHeight="1" x14ac:dyDescent="0.3">
      <c r="A224248" s="17"/>
    </row>
    <row r="224540" spans="1:1" ht="17.100000000000001" customHeight="1" x14ac:dyDescent="0.3">
      <c r="A224540" s="17"/>
    </row>
    <row r="224832" spans="1:1" ht="17.100000000000001" customHeight="1" x14ac:dyDescent="0.3">
      <c r="A224832" s="17"/>
    </row>
    <row r="225124" spans="1:1" ht="17.100000000000001" customHeight="1" x14ac:dyDescent="0.3">
      <c r="A225124" s="17"/>
    </row>
    <row r="225416" spans="1:1" ht="17.100000000000001" customHeight="1" x14ac:dyDescent="0.3">
      <c r="A225416" s="17"/>
    </row>
    <row r="225708" spans="1:1" ht="17.100000000000001" customHeight="1" x14ac:dyDescent="0.3">
      <c r="A225708" s="17"/>
    </row>
    <row r="226000" spans="1:1" ht="17.100000000000001" customHeight="1" x14ac:dyDescent="0.3">
      <c r="A226000" s="17"/>
    </row>
    <row r="226292" spans="1:1" ht="17.100000000000001" customHeight="1" x14ac:dyDescent="0.3">
      <c r="A226292" s="17"/>
    </row>
    <row r="226584" spans="1:1" ht="17.100000000000001" customHeight="1" x14ac:dyDescent="0.3">
      <c r="A226584" s="17"/>
    </row>
    <row r="226876" spans="1:1" ht="17.100000000000001" customHeight="1" x14ac:dyDescent="0.3">
      <c r="A226876" s="17"/>
    </row>
    <row r="227168" spans="1:1" ht="17.100000000000001" customHeight="1" x14ac:dyDescent="0.3">
      <c r="A227168" s="17"/>
    </row>
    <row r="227460" spans="1:1" ht="17.100000000000001" customHeight="1" x14ac:dyDescent="0.3">
      <c r="A227460" s="17"/>
    </row>
    <row r="227752" spans="1:1" ht="17.100000000000001" customHeight="1" x14ac:dyDescent="0.3">
      <c r="A227752" s="17"/>
    </row>
    <row r="228044" spans="1:1" ht="17.100000000000001" customHeight="1" x14ac:dyDescent="0.3">
      <c r="A228044" s="17"/>
    </row>
    <row r="228336" spans="1:1" ht="17.100000000000001" customHeight="1" x14ac:dyDescent="0.3">
      <c r="A228336" s="17"/>
    </row>
    <row r="228628" spans="1:1" ht="17.100000000000001" customHeight="1" x14ac:dyDescent="0.3">
      <c r="A228628" s="17"/>
    </row>
    <row r="228920" spans="1:1" ht="17.100000000000001" customHeight="1" x14ac:dyDescent="0.3">
      <c r="A228920" s="17"/>
    </row>
    <row r="229212" spans="1:1" ht="17.100000000000001" customHeight="1" x14ac:dyDescent="0.3">
      <c r="A229212" s="17"/>
    </row>
    <row r="229504" spans="1:1" ht="17.100000000000001" customHeight="1" x14ac:dyDescent="0.3">
      <c r="A229504" s="17"/>
    </row>
    <row r="229796" spans="1:1" ht="17.100000000000001" customHeight="1" x14ac:dyDescent="0.3">
      <c r="A229796" s="17"/>
    </row>
    <row r="230088" spans="1:1" ht="17.100000000000001" customHeight="1" x14ac:dyDescent="0.3">
      <c r="A230088" s="17"/>
    </row>
    <row r="230380" spans="1:1" ht="17.100000000000001" customHeight="1" x14ac:dyDescent="0.3">
      <c r="A230380" s="17"/>
    </row>
    <row r="230672" spans="1:1" ht="17.100000000000001" customHeight="1" x14ac:dyDescent="0.3">
      <c r="A230672" s="17"/>
    </row>
    <row r="230964" spans="1:1" ht="17.100000000000001" customHeight="1" x14ac:dyDescent="0.3">
      <c r="A230964" s="17"/>
    </row>
    <row r="231256" spans="1:1" ht="17.100000000000001" customHeight="1" x14ac:dyDescent="0.3">
      <c r="A231256" s="17"/>
    </row>
    <row r="231548" spans="1:1" ht="17.100000000000001" customHeight="1" x14ac:dyDescent="0.3">
      <c r="A231548" s="17"/>
    </row>
    <row r="231840" spans="1:1" ht="17.100000000000001" customHeight="1" x14ac:dyDescent="0.3">
      <c r="A231840" s="17"/>
    </row>
    <row r="232132" spans="1:1" ht="17.100000000000001" customHeight="1" x14ac:dyDescent="0.3">
      <c r="A232132" s="17"/>
    </row>
    <row r="232424" spans="1:1" ht="17.100000000000001" customHeight="1" x14ac:dyDescent="0.3">
      <c r="A232424" s="17"/>
    </row>
    <row r="232716" spans="1:1" ht="17.100000000000001" customHeight="1" x14ac:dyDescent="0.3">
      <c r="A232716" s="17"/>
    </row>
    <row r="233008" spans="1:1" ht="17.100000000000001" customHeight="1" x14ac:dyDescent="0.3">
      <c r="A233008" s="17"/>
    </row>
    <row r="233300" spans="1:1" ht="17.100000000000001" customHeight="1" x14ac:dyDescent="0.3">
      <c r="A233300" s="17"/>
    </row>
    <row r="233592" spans="1:1" ht="17.100000000000001" customHeight="1" x14ac:dyDescent="0.3">
      <c r="A233592" s="17"/>
    </row>
    <row r="233884" spans="1:1" ht="17.100000000000001" customHeight="1" x14ac:dyDescent="0.3">
      <c r="A233884" s="17"/>
    </row>
    <row r="234176" spans="1:1" ht="17.100000000000001" customHeight="1" x14ac:dyDescent="0.3">
      <c r="A234176" s="17"/>
    </row>
    <row r="234468" spans="1:1" ht="17.100000000000001" customHeight="1" x14ac:dyDescent="0.3">
      <c r="A234468" s="17"/>
    </row>
    <row r="234760" spans="1:1" ht="17.100000000000001" customHeight="1" x14ac:dyDescent="0.3">
      <c r="A234760" s="17"/>
    </row>
    <row r="235052" spans="1:1" ht="17.100000000000001" customHeight="1" x14ac:dyDescent="0.3">
      <c r="A235052" s="17"/>
    </row>
    <row r="235344" spans="1:1" ht="17.100000000000001" customHeight="1" x14ac:dyDescent="0.3">
      <c r="A235344" s="17"/>
    </row>
    <row r="235636" spans="1:1" ht="17.100000000000001" customHeight="1" x14ac:dyDescent="0.3">
      <c r="A235636" s="17"/>
    </row>
    <row r="235928" spans="1:1" ht="17.100000000000001" customHeight="1" x14ac:dyDescent="0.3">
      <c r="A235928" s="17"/>
    </row>
    <row r="236220" spans="1:1" ht="17.100000000000001" customHeight="1" x14ac:dyDescent="0.3">
      <c r="A236220" s="17"/>
    </row>
    <row r="236512" spans="1:1" ht="17.100000000000001" customHeight="1" x14ac:dyDescent="0.3">
      <c r="A236512" s="17"/>
    </row>
    <row r="236804" spans="1:1" ht="17.100000000000001" customHeight="1" x14ac:dyDescent="0.3">
      <c r="A236804" s="17"/>
    </row>
    <row r="237096" spans="1:1" ht="17.100000000000001" customHeight="1" x14ac:dyDescent="0.3">
      <c r="A237096" s="17"/>
    </row>
    <row r="237388" spans="1:1" ht="17.100000000000001" customHeight="1" x14ac:dyDescent="0.3">
      <c r="A237388" s="17"/>
    </row>
    <row r="237680" spans="1:1" ht="17.100000000000001" customHeight="1" x14ac:dyDescent="0.3">
      <c r="A237680" s="17"/>
    </row>
    <row r="237972" spans="1:1" ht="17.100000000000001" customHeight="1" x14ac:dyDescent="0.3">
      <c r="A237972" s="17"/>
    </row>
    <row r="238264" spans="1:1" ht="17.100000000000001" customHeight="1" x14ac:dyDescent="0.3">
      <c r="A238264" s="17"/>
    </row>
    <row r="238556" spans="1:1" ht="17.100000000000001" customHeight="1" x14ac:dyDescent="0.3">
      <c r="A238556" s="17"/>
    </row>
    <row r="238848" spans="1:1" ht="17.100000000000001" customHeight="1" x14ac:dyDescent="0.3">
      <c r="A238848" s="17"/>
    </row>
    <row r="239140" spans="1:1" ht="17.100000000000001" customHeight="1" x14ac:dyDescent="0.3">
      <c r="A239140" s="17"/>
    </row>
    <row r="239432" spans="1:1" ht="17.100000000000001" customHeight="1" x14ac:dyDescent="0.3">
      <c r="A239432" s="17"/>
    </row>
    <row r="239724" spans="1:1" ht="17.100000000000001" customHeight="1" x14ac:dyDescent="0.3">
      <c r="A239724" s="17"/>
    </row>
    <row r="240016" spans="1:1" ht="17.100000000000001" customHeight="1" x14ac:dyDescent="0.3">
      <c r="A240016" s="17"/>
    </row>
    <row r="240308" spans="1:1" ht="17.100000000000001" customHeight="1" x14ac:dyDescent="0.3">
      <c r="A240308" s="17"/>
    </row>
    <row r="240600" spans="1:1" ht="17.100000000000001" customHeight="1" x14ac:dyDescent="0.3">
      <c r="A240600" s="17"/>
    </row>
    <row r="240892" spans="1:1" ht="17.100000000000001" customHeight="1" x14ac:dyDescent="0.3">
      <c r="A240892" s="17"/>
    </row>
    <row r="241184" spans="1:1" ht="17.100000000000001" customHeight="1" x14ac:dyDescent="0.3">
      <c r="A241184" s="17"/>
    </row>
    <row r="241476" spans="1:1" ht="17.100000000000001" customHeight="1" x14ac:dyDescent="0.3">
      <c r="A241476" s="17"/>
    </row>
    <row r="241768" spans="1:1" ht="17.100000000000001" customHeight="1" x14ac:dyDescent="0.3">
      <c r="A241768" s="17"/>
    </row>
    <row r="242060" spans="1:1" ht="17.100000000000001" customHeight="1" x14ac:dyDescent="0.3">
      <c r="A242060" s="17"/>
    </row>
    <row r="242352" spans="1:1" ht="17.100000000000001" customHeight="1" x14ac:dyDescent="0.3">
      <c r="A242352" s="17"/>
    </row>
    <row r="242644" spans="1:1" ht="17.100000000000001" customHeight="1" x14ac:dyDescent="0.3">
      <c r="A242644" s="17"/>
    </row>
    <row r="242936" spans="1:1" ht="17.100000000000001" customHeight="1" x14ac:dyDescent="0.3">
      <c r="A242936" s="17"/>
    </row>
    <row r="243228" spans="1:1" ht="17.100000000000001" customHeight="1" x14ac:dyDescent="0.3">
      <c r="A243228" s="17"/>
    </row>
    <row r="243520" spans="1:1" ht="17.100000000000001" customHeight="1" x14ac:dyDescent="0.3">
      <c r="A243520" s="17"/>
    </row>
    <row r="243812" spans="1:1" ht="17.100000000000001" customHeight="1" x14ac:dyDescent="0.3">
      <c r="A243812" s="17"/>
    </row>
    <row r="244104" spans="1:1" ht="17.100000000000001" customHeight="1" x14ac:dyDescent="0.3">
      <c r="A244104" s="17"/>
    </row>
    <row r="244396" spans="1:1" ht="17.100000000000001" customHeight="1" x14ac:dyDescent="0.3">
      <c r="A244396" s="17"/>
    </row>
    <row r="244688" spans="1:1" ht="17.100000000000001" customHeight="1" x14ac:dyDescent="0.3">
      <c r="A244688" s="17"/>
    </row>
    <row r="244980" spans="1:1" ht="17.100000000000001" customHeight="1" x14ac:dyDescent="0.3">
      <c r="A244980" s="17"/>
    </row>
    <row r="245272" spans="1:1" ht="17.100000000000001" customHeight="1" x14ac:dyDescent="0.3">
      <c r="A245272" s="17"/>
    </row>
    <row r="245564" spans="1:1" ht="17.100000000000001" customHeight="1" x14ac:dyDescent="0.3">
      <c r="A245564" s="17"/>
    </row>
    <row r="245856" spans="1:1" ht="17.100000000000001" customHeight="1" x14ac:dyDescent="0.3">
      <c r="A245856" s="17"/>
    </row>
    <row r="246148" spans="1:1" ht="17.100000000000001" customHeight="1" x14ac:dyDescent="0.3">
      <c r="A246148" s="17"/>
    </row>
    <row r="246440" spans="1:1" ht="17.100000000000001" customHeight="1" x14ac:dyDescent="0.3">
      <c r="A246440" s="17"/>
    </row>
    <row r="246732" spans="1:1" ht="17.100000000000001" customHeight="1" x14ac:dyDescent="0.3">
      <c r="A246732" s="17"/>
    </row>
    <row r="247024" spans="1:1" ht="17.100000000000001" customHeight="1" x14ac:dyDescent="0.3">
      <c r="A247024" s="17"/>
    </row>
    <row r="247316" spans="1:1" ht="17.100000000000001" customHeight="1" x14ac:dyDescent="0.3">
      <c r="A247316" s="17"/>
    </row>
    <row r="247608" spans="1:1" ht="17.100000000000001" customHeight="1" x14ac:dyDescent="0.3">
      <c r="A247608" s="17"/>
    </row>
    <row r="247900" spans="1:1" ht="17.100000000000001" customHeight="1" x14ac:dyDescent="0.3">
      <c r="A247900" s="17"/>
    </row>
    <row r="248192" spans="1:1" ht="17.100000000000001" customHeight="1" x14ac:dyDescent="0.3">
      <c r="A248192" s="17"/>
    </row>
    <row r="248484" spans="1:1" ht="17.100000000000001" customHeight="1" x14ac:dyDescent="0.3">
      <c r="A248484" s="17"/>
    </row>
    <row r="248776" spans="1:1" ht="17.100000000000001" customHeight="1" x14ac:dyDescent="0.3">
      <c r="A248776" s="17"/>
    </row>
    <row r="249068" spans="1:1" ht="17.100000000000001" customHeight="1" x14ac:dyDescent="0.3">
      <c r="A249068" s="17"/>
    </row>
    <row r="249360" spans="1:1" ht="17.100000000000001" customHeight="1" x14ac:dyDescent="0.3">
      <c r="A249360" s="17"/>
    </row>
    <row r="249652" spans="1:1" ht="17.100000000000001" customHeight="1" x14ac:dyDescent="0.3">
      <c r="A249652" s="17"/>
    </row>
    <row r="249944" spans="1:1" ht="17.100000000000001" customHeight="1" x14ac:dyDescent="0.3">
      <c r="A249944" s="17"/>
    </row>
    <row r="250236" spans="1:1" ht="17.100000000000001" customHeight="1" x14ac:dyDescent="0.3">
      <c r="A250236" s="17"/>
    </row>
    <row r="250528" spans="1:1" ht="17.100000000000001" customHeight="1" x14ac:dyDescent="0.3">
      <c r="A250528" s="17"/>
    </row>
    <row r="250820" spans="1:1" ht="17.100000000000001" customHeight="1" x14ac:dyDescent="0.3">
      <c r="A250820" s="17"/>
    </row>
    <row r="251112" spans="1:1" ht="17.100000000000001" customHeight="1" x14ac:dyDescent="0.3">
      <c r="A251112" s="17"/>
    </row>
    <row r="251404" spans="1:1" ht="17.100000000000001" customHeight="1" x14ac:dyDescent="0.3">
      <c r="A251404" s="17"/>
    </row>
    <row r="251696" spans="1:1" ht="17.100000000000001" customHeight="1" x14ac:dyDescent="0.3">
      <c r="A251696" s="17"/>
    </row>
    <row r="251988" spans="1:1" ht="17.100000000000001" customHeight="1" x14ac:dyDescent="0.3">
      <c r="A251988" s="17"/>
    </row>
    <row r="252280" spans="1:1" ht="17.100000000000001" customHeight="1" x14ac:dyDescent="0.3">
      <c r="A252280" s="17"/>
    </row>
    <row r="252572" spans="1:1" ht="17.100000000000001" customHeight="1" x14ac:dyDescent="0.3">
      <c r="A252572" s="17"/>
    </row>
    <row r="252864" spans="1:1" ht="17.100000000000001" customHeight="1" x14ac:dyDescent="0.3">
      <c r="A252864" s="17"/>
    </row>
    <row r="253156" spans="1:1" ht="17.100000000000001" customHeight="1" x14ac:dyDescent="0.3">
      <c r="A253156" s="17"/>
    </row>
    <row r="253448" spans="1:1" ht="17.100000000000001" customHeight="1" x14ac:dyDescent="0.3">
      <c r="A253448" s="17"/>
    </row>
    <row r="253740" spans="1:1" ht="17.100000000000001" customHeight="1" x14ac:dyDescent="0.3">
      <c r="A253740" s="17"/>
    </row>
    <row r="254032" spans="1:1" ht="17.100000000000001" customHeight="1" x14ac:dyDescent="0.3">
      <c r="A254032" s="17"/>
    </row>
    <row r="254324" spans="1:1" ht="17.100000000000001" customHeight="1" x14ac:dyDescent="0.3">
      <c r="A254324" s="17"/>
    </row>
    <row r="254616" spans="1:1" ht="17.100000000000001" customHeight="1" x14ac:dyDescent="0.3">
      <c r="A254616" s="17"/>
    </row>
    <row r="254908" spans="1:1" ht="17.100000000000001" customHeight="1" x14ac:dyDescent="0.3">
      <c r="A254908" s="17"/>
    </row>
    <row r="255200" spans="1:1" ht="17.100000000000001" customHeight="1" x14ac:dyDescent="0.3">
      <c r="A255200" s="17"/>
    </row>
    <row r="255492" spans="1:1" ht="17.100000000000001" customHeight="1" x14ac:dyDescent="0.3">
      <c r="A255492" s="17"/>
    </row>
    <row r="255784" spans="1:1" ht="17.100000000000001" customHeight="1" x14ac:dyDescent="0.3">
      <c r="A255784" s="17"/>
    </row>
    <row r="256076" spans="1:1" ht="17.100000000000001" customHeight="1" x14ac:dyDescent="0.3">
      <c r="A256076" s="17"/>
    </row>
    <row r="256368" spans="1:1" ht="17.100000000000001" customHeight="1" x14ac:dyDescent="0.3">
      <c r="A256368" s="17"/>
    </row>
    <row r="256660" spans="1:1" ht="17.100000000000001" customHeight="1" x14ac:dyDescent="0.3">
      <c r="A256660" s="17"/>
    </row>
    <row r="256952" spans="1:1" ht="17.100000000000001" customHeight="1" x14ac:dyDescent="0.3">
      <c r="A256952" s="17"/>
    </row>
    <row r="257244" spans="1:1" ht="17.100000000000001" customHeight="1" x14ac:dyDescent="0.3">
      <c r="A257244" s="17"/>
    </row>
    <row r="257536" spans="1:1" ht="17.100000000000001" customHeight="1" x14ac:dyDescent="0.3">
      <c r="A257536" s="17"/>
    </row>
    <row r="257828" spans="1:1" ht="17.100000000000001" customHeight="1" x14ac:dyDescent="0.3">
      <c r="A257828" s="17"/>
    </row>
    <row r="258120" spans="1:1" ht="17.100000000000001" customHeight="1" x14ac:dyDescent="0.3">
      <c r="A258120" s="17"/>
    </row>
    <row r="258412" spans="1:1" ht="17.100000000000001" customHeight="1" x14ac:dyDescent="0.3">
      <c r="A258412" s="17"/>
    </row>
    <row r="258704" spans="1:1" ht="17.100000000000001" customHeight="1" x14ac:dyDescent="0.3">
      <c r="A258704" s="17"/>
    </row>
    <row r="258996" spans="1:1" ht="17.100000000000001" customHeight="1" x14ac:dyDescent="0.3">
      <c r="A258996" s="17"/>
    </row>
    <row r="259288" spans="1:1" ht="17.100000000000001" customHeight="1" x14ac:dyDescent="0.3">
      <c r="A259288" s="17"/>
    </row>
    <row r="259580" spans="1:1" ht="17.100000000000001" customHeight="1" x14ac:dyDescent="0.3">
      <c r="A259580" s="17"/>
    </row>
    <row r="259872" spans="1:1" ht="17.100000000000001" customHeight="1" x14ac:dyDescent="0.3">
      <c r="A259872" s="17"/>
    </row>
    <row r="260164" spans="1:1" ht="17.100000000000001" customHeight="1" x14ac:dyDescent="0.3">
      <c r="A260164" s="17"/>
    </row>
    <row r="260456" spans="1:1" ht="17.100000000000001" customHeight="1" x14ac:dyDescent="0.3">
      <c r="A260456" s="17"/>
    </row>
    <row r="260748" spans="1:1" ht="17.100000000000001" customHeight="1" x14ac:dyDescent="0.3">
      <c r="A260748" s="17"/>
    </row>
    <row r="261040" spans="1:1" ht="17.100000000000001" customHeight="1" x14ac:dyDescent="0.3">
      <c r="A261040" s="17"/>
    </row>
    <row r="261332" spans="1:1" ht="17.100000000000001" customHeight="1" x14ac:dyDescent="0.3">
      <c r="A261332" s="17"/>
    </row>
    <row r="261624" spans="1:1" ht="17.100000000000001" customHeight="1" x14ac:dyDescent="0.3">
      <c r="A261624" s="17"/>
    </row>
    <row r="261916" spans="1:1" ht="17.100000000000001" customHeight="1" x14ac:dyDescent="0.3">
      <c r="A261916" s="17"/>
    </row>
    <row r="262208" spans="1:1" ht="17.100000000000001" customHeight="1" x14ac:dyDescent="0.3">
      <c r="A262208" s="17"/>
    </row>
    <row r="262500" spans="1:1" ht="17.100000000000001" customHeight="1" x14ac:dyDescent="0.3">
      <c r="A262500" s="17"/>
    </row>
    <row r="262792" spans="1:1" ht="17.100000000000001" customHeight="1" x14ac:dyDescent="0.3">
      <c r="A262792" s="17"/>
    </row>
    <row r="263084" spans="1:1" ht="17.100000000000001" customHeight="1" x14ac:dyDescent="0.3">
      <c r="A263084" s="17"/>
    </row>
    <row r="263376" spans="1:1" ht="17.100000000000001" customHeight="1" x14ac:dyDescent="0.3">
      <c r="A263376" s="17"/>
    </row>
    <row r="263668" spans="1:1" ht="17.100000000000001" customHeight="1" x14ac:dyDescent="0.3">
      <c r="A263668" s="17"/>
    </row>
    <row r="263960" spans="1:1" ht="17.100000000000001" customHeight="1" x14ac:dyDescent="0.3">
      <c r="A263960" s="17"/>
    </row>
    <row r="264252" spans="1:1" ht="17.100000000000001" customHeight="1" x14ac:dyDescent="0.3">
      <c r="A264252" s="17"/>
    </row>
    <row r="264544" spans="1:1" ht="17.100000000000001" customHeight="1" x14ac:dyDescent="0.3">
      <c r="A264544" s="17"/>
    </row>
    <row r="264836" spans="1:1" ht="17.100000000000001" customHeight="1" x14ac:dyDescent="0.3">
      <c r="A264836" s="17"/>
    </row>
    <row r="265128" spans="1:1" ht="17.100000000000001" customHeight="1" x14ac:dyDescent="0.3">
      <c r="A265128" s="17"/>
    </row>
    <row r="265420" spans="1:1" ht="17.100000000000001" customHeight="1" x14ac:dyDescent="0.3">
      <c r="A265420" s="17"/>
    </row>
    <row r="265712" spans="1:1" ht="17.100000000000001" customHeight="1" x14ac:dyDescent="0.3">
      <c r="A265712" s="17"/>
    </row>
    <row r="266004" spans="1:1" ht="17.100000000000001" customHeight="1" x14ac:dyDescent="0.3">
      <c r="A266004" s="17"/>
    </row>
    <row r="266296" spans="1:1" ht="17.100000000000001" customHeight="1" x14ac:dyDescent="0.3">
      <c r="A266296" s="17"/>
    </row>
    <row r="266588" spans="1:1" ht="17.100000000000001" customHeight="1" x14ac:dyDescent="0.3">
      <c r="A266588" s="17"/>
    </row>
    <row r="266880" spans="1:1" ht="17.100000000000001" customHeight="1" x14ac:dyDescent="0.3">
      <c r="A266880" s="17"/>
    </row>
    <row r="267172" spans="1:1" ht="17.100000000000001" customHeight="1" x14ac:dyDescent="0.3">
      <c r="A267172" s="17"/>
    </row>
    <row r="267464" spans="1:1" ht="17.100000000000001" customHeight="1" x14ac:dyDescent="0.3">
      <c r="A267464" s="17"/>
    </row>
    <row r="267756" spans="1:1" ht="17.100000000000001" customHeight="1" x14ac:dyDescent="0.3">
      <c r="A267756" s="17"/>
    </row>
    <row r="268048" spans="1:1" ht="17.100000000000001" customHeight="1" x14ac:dyDescent="0.3">
      <c r="A268048" s="17"/>
    </row>
    <row r="268340" spans="1:1" ht="17.100000000000001" customHeight="1" x14ac:dyDescent="0.3">
      <c r="A268340" s="17"/>
    </row>
    <row r="268632" spans="1:1" ht="17.100000000000001" customHeight="1" x14ac:dyDescent="0.3">
      <c r="A268632" s="17"/>
    </row>
    <row r="268924" spans="1:1" ht="17.100000000000001" customHeight="1" x14ac:dyDescent="0.3">
      <c r="A268924" s="17"/>
    </row>
    <row r="269216" spans="1:1" ht="17.100000000000001" customHeight="1" x14ac:dyDescent="0.3">
      <c r="A269216" s="17"/>
    </row>
    <row r="269508" spans="1:1" ht="17.100000000000001" customHeight="1" x14ac:dyDescent="0.3">
      <c r="A269508" s="17"/>
    </row>
    <row r="269800" spans="1:1" ht="17.100000000000001" customHeight="1" x14ac:dyDescent="0.3">
      <c r="A269800" s="17"/>
    </row>
    <row r="270092" spans="1:1" ht="17.100000000000001" customHeight="1" x14ac:dyDescent="0.3">
      <c r="A270092" s="17"/>
    </row>
    <row r="270384" spans="1:1" ht="17.100000000000001" customHeight="1" x14ac:dyDescent="0.3">
      <c r="A270384" s="17"/>
    </row>
    <row r="270676" spans="1:1" ht="17.100000000000001" customHeight="1" x14ac:dyDescent="0.3">
      <c r="A270676" s="17"/>
    </row>
    <row r="270968" spans="1:1" ht="17.100000000000001" customHeight="1" x14ac:dyDescent="0.3">
      <c r="A270968" s="17"/>
    </row>
    <row r="271260" spans="1:1" ht="17.100000000000001" customHeight="1" x14ac:dyDescent="0.3">
      <c r="A271260" s="17"/>
    </row>
    <row r="271552" spans="1:1" ht="17.100000000000001" customHeight="1" x14ac:dyDescent="0.3">
      <c r="A271552" s="17"/>
    </row>
    <row r="271844" spans="1:1" ht="17.100000000000001" customHeight="1" x14ac:dyDescent="0.3">
      <c r="A271844" s="17"/>
    </row>
    <row r="272136" spans="1:1" ht="17.100000000000001" customHeight="1" x14ac:dyDescent="0.3">
      <c r="A272136" s="17"/>
    </row>
    <row r="272428" spans="1:1" ht="17.100000000000001" customHeight="1" x14ac:dyDescent="0.3">
      <c r="A272428" s="17"/>
    </row>
    <row r="272720" spans="1:1" ht="17.100000000000001" customHeight="1" x14ac:dyDescent="0.3">
      <c r="A272720" s="17"/>
    </row>
    <row r="273012" spans="1:1" ht="17.100000000000001" customHeight="1" x14ac:dyDescent="0.3">
      <c r="A273012" s="17"/>
    </row>
    <row r="273304" spans="1:1" ht="17.100000000000001" customHeight="1" x14ac:dyDescent="0.3">
      <c r="A273304" s="17"/>
    </row>
    <row r="273596" spans="1:1" ht="17.100000000000001" customHeight="1" x14ac:dyDescent="0.3">
      <c r="A273596" s="17"/>
    </row>
    <row r="273888" spans="1:1" ht="17.100000000000001" customHeight="1" x14ac:dyDescent="0.3">
      <c r="A273888" s="17"/>
    </row>
    <row r="274180" spans="1:1" ht="17.100000000000001" customHeight="1" x14ac:dyDescent="0.3">
      <c r="A274180" s="17"/>
    </row>
    <row r="274472" spans="1:1" ht="17.100000000000001" customHeight="1" x14ac:dyDescent="0.3">
      <c r="A274472" s="17"/>
    </row>
    <row r="274764" spans="1:1" ht="17.100000000000001" customHeight="1" x14ac:dyDescent="0.3">
      <c r="A274764" s="17"/>
    </row>
    <row r="275056" spans="1:1" ht="17.100000000000001" customHeight="1" x14ac:dyDescent="0.3">
      <c r="A275056" s="17"/>
    </row>
    <row r="275348" spans="1:1" ht="17.100000000000001" customHeight="1" x14ac:dyDescent="0.3">
      <c r="A275348" s="17"/>
    </row>
    <row r="275640" spans="1:1" ht="17.100000000000001" customHeight="1" x14ac:dyDescent="0.3">
      <c r="A275640" s="17"/>
    </row>
    <row r="275932" spans="1:1" ht="17.100000000000001" customHeight="1" x14ac:dyDescent="0.3">
      <c r="A275932" s="17"/>
    </row>
    <row r="276224" spans="1:1" ht="17.100000000000001" customHeight="1" x14ac:dyDescent="0.3">
      <c r="A276224" s="17"/>
    </row>
    <row r="276516" spans="1:1" ht="17.100000000000001" customHeight="1" x14ac:dyDescent="0.3">
      <c r="A276516" s="17"/>
    </row>
    <row r="276808" spans="1:1" ht="17.100000000000001" customHeight="1" x14ac:dyDescent="0.3">
      <c r="A276808" s="17"/>
    </row>
    <row r="277100" spans="1:1" ht="17.100000000000001" customHeight="1" x14ac:dyDescent="0.3">
      <c r="A277100" s="17"/>
    </row>
    <row r="277392" spans="1:1" ht="17.100000000000001" customHeight="1" x14ac:dyDescent="0.3">
      <c r="A277392" s="17"/>
    </row>
    <row r="277684" spans="1:1" ht="17.100000000000001" customHeight="1" x14ac:dyDescent="0.3">
      <c r="A277684" s="17"/>
    </row>
    <row r="277976" spans="1:1" ht="17.100000000000001" customHeight="1" x14ac:dyDescent="0.3">
      <c r="A277976" s="17"/>
    </row>
    <row r="278268" spans="1:1" ht="17.100000000000001" customHeight="1" x14ac:dyDescent="0.3">
      <c r="A278268" s="17"/>
    </row>
    <row r="278560" spans="1:1" ht="17.100000000000001" customHeight="1" x14ac:dyDescent="0.3">
      <c r="A278560" s="17"/>
    </row>
    <row r="278852" spans="1:1" ht="17.100000000000001" customHeight="1" x14ac:dyDescent="0.3">
      <c r="A278852" s="17"/>
    </row>
    <row r="279144" spans="1:1" ht="17.100000000000001" customHeight="1" x14ac:dyDescent="0.3">
      <c r="A279144" s="17"/>
    </row>
    <row r="279436" spans="1:1" ht="17.100000000000001" customHeight="1" x14ac:dyDescent="0.3">
      <c r="A279436" s="17"/>
    </row>
    <row r="279728" spans="1:1" ht="17.100000000000001" customHeight="1" x14ac:dyDescent="0.3">
      <c r="A279728" s="17"/>
    </row>
    <row r="280020" spans="1:1" ht="17.100000000000001" customHeight="1" x14ac:dyDescent="0.3">
      <c r="A280020" s="17"/>
    </row>
    <row r="280312" spans="1:1" ht="17.100000000000001" customHeight="1" x14ac:dyDescent="0.3">
      <c r="A280312" s="17"/>
    </row>
    <row r="280604" spans="1:1" ht="17.100000000000001" customHeight="1" x14ac:dyDescent="0.3">
      <c r="A280604" s="17"/>
    </row>
    <row r="280896" spans="1:1" ht="17.100000000000001" customHeight="1" x14ac:dyDescent="0.3">
      <c r="A280896" s="17"/>
    </row>
    <row r="281188" spans="1:1" ht="17.100000000000001" customHeight="1" x14ac:dyDescent="0.3">
      <c r="A281188" s="17"/>
    </row>
    <row r="281480" spans="1:1" ht="17.100000000000001" customHeight="1" x14ac:dyDescent="0.3">
      <c r="A281480" s="17"/>
    </row>
    <row r="281772" spans="1:1" ht="17.100000000000001" customHeight="1" x14ac:dyDescent="0.3">
      <c r="A281772" s="17"/>
    </row>
    <row r="282064" spans="1:1" ht="17.100000000000001" customHeight="1" x14ac:dyDescent="0.3">
      <c r="A282064" s="17"/>
    </row>
    <row r="282356" spans="1:1" ht="17.100000000000001" customHeight="1" x14ac:dyDescent="0.3">
      <c r="A282356" s="17"/>
    </row>
    <row r="282648" spans="1:1" ht="17.100000000000001" customHeight="1" x14ac:dyDescent="0.3">
      <c r="A282648" s="17"/>
    </row>
    <row r="282940" spans="1:1" ht="17.100000000000001" customHeight="1" x14ac:dyDescent="0.3">
      <c r="A282940" s="17"/>
    </row>
    <row r="283232" spans="1:1" ht="17.100000000000001" customHeight="1" x14ac:dyDescent="0.3">
      <c r="A283232" s="17"/>
    </row>
    <row r="283524" spans="1:1" ht="17.100000000000001" customHeight="1" x14ac:dyDescent="0.3">
      <c r="A283524" s="17"/>
    </row>
    <row r="283816" spans="1:1" ht="17.100000000000001" customHeight="1" x14ac:dyDescent="0.3">
      <c r="A283816" s="17"/>
    </row>
    <row r="284108" spans="1:1" ht="17.100000000000001" customHeight="1" x14ac:dyDescent="0.3">
      <c r="A284108" s="17"/>
    </row>
    <row r="284400" spans="1:1" ht="17.100000000000001" customHeight="1" x14ac:dyDescent="0.3">
      <c r="A284400" s="17"/>
    </row>
    <row r="284692" spans="1:1" ht="17.100000000000001" customHeight="1" x14ac:dyDescent="0.3">
      <c r="A284692" s="17"/>
    </row>
    <row r="284984" spans="1:1" ht="17.100000000000001" customHeight="1" x14ac:dyDescent="0.3">
      <c r="A284984" s="17"/>
    </row>
    <row r="285276" spans="1:1" ht="17.100000000000001" customHeight="1" x14ac:dyDescent="0.3">
      <c r="A285276" s="17"/>
    </row>
    <row r="285568" spans="1:1" ht="17.100000000000001" customHeight="1" x14ac:dyDescent="0.3">
      <c r="A285568" s="17"/>
    </row>
    <row r="285860" spans="1:1" ht="17.100000000000001" customHeight="1" x14ac:dyDescent="0.3">
      <c r="A285860" s="17"/>
    </row>
    <row r="286152" spans="1:1" ht="17.100000000000001" customHeight="1" x14ac:dyDescent="0.3">
      <c r="A286152" s="17"/>
    </row>
    <row r="286444" spans="1:1" ht="17.100000000000001" customHeight="1" x14ac:dyDescent="0.3">
      <c r="A286444" s="17"/>
    </row>
    <row r="286736" spans="1:1" ht="17.100000000000001" customHeight="1" x14ac:dyDescent="0.3">
      <c r="A286736" s="17"/>
    </row>
    <row r="287028" spans="1:1" ht="17.100000000000001" customHeight="1" x14ac:dyDescent="0.3">
      <c r="A287028" s="17"/>
    </row>
    <row r="287320" spans="1:1" ht="17.100000000000001" customHeight="1" x14ac:dyDescent="0.3">
      <c r="A287320" s="17"/>
    </row>
    <row r="287612" spans="1:1" ht="17.100000000000001" customHeight="1" x14ac:dyDescent="0.3">
      <c r="A287612" s="17"/>
    </row>
    <row r="287904" spans="1:1" ht="17.100000000000001" customHeight="1" x14ac:dyDescent="0.3">
      <c r="A287904" s="17"/>
    </row>
    <row r="288196" spans="1:1" ht="17.100000000000001" customHeight="1" x14ac:dyDescent="0.3">
      <c r="A288196" s="17"/>
    </row>
    <row r="288488" spans="1:1" ht="17.100000000000001" customHeight="1" x14ac:dyDescent="0.3">
      <c r="A288488" s="17"/>
    </row>
    <row r="288780" spans="1:1" ht="17.100000000000001" customHeight="1" x14ac:dyDescent="0.3">
      <c r="A288780" s="17"/>
    </row>
    <row r="289072" spans="1:1" ht="17.100000000000001" customHeight="1" x14ac:dyDescent="0.3">
      <c r="A289072" s="17"/>
    </row>
    <row r="289364" spans="1:1" ht="17.100000000000001" customHeight="1" x14ac:dyDescent="0.3">
      <c r="A289364" s="17"/>
    </row>
    <row r="289656" spans="1:1" ht="17.100000000000001" customHeight="1" x14ac:dyDescent="0.3">
      <c r="A289656" s="17"/>
    </row>
    <row r="289948" spans="1:1" ht="17.100000000000001" customHeight="1" x14ac:dyDescent="0.3">
      <c r="A289948" s="17"/>
    </row>
    <row r="290240" spans="1:1" ht="17.100000000000001" customHeight="1" x14ac:dyDescent="0.3">
      <c r="A290240" s="17"/>
    </row>
    <row r="290532" spans="1:1" ht="17.100000000000001" customHeight="1" x14ac:dyDescent="0.3">
      <c r="A290532" s="17"/>
    </row>
    <row r="290824" spans="1:1" ht="17.100000000000001" customHeight="1" x14ac:dyDescent="0.3">
      <c r="A290824" s="17"/>
    </row>
    <row r="291116" spans="1:1" ht="17.100000000000001" customHeight="1" x14ac:dyDescent="0.3">
      <c r="A291116" s="17"/>
    </row>
    <row r="291408" spans="1:1" ht="17.100000000000001" customHeight="1" x14ac:dyDescent="0.3">
      <c r="A291408" s="17"/>
    </row>
    <row r="291700" spans="1:1" ht="17.100000000000001" customHeight="1" x14ac:dyDescent="0.3">
      <c r="A291700" s="17"/>
    </row>
    <row r="291992" spans="1:1" ht="17.100000000000001" customHeight="1" x14ac:dyDescent="0.3">
      <c r="A291992" s="17"/>
    </row>
    <row r="292284" spans="1:1" ht="17.100000000000001" customHeight="1" x14ac:dyDescent="0.3">
      <c r="A292284" s="17"/>
    </row>
    <row r="292576" spans="1:1" ht="17.100000000000001" customHeight="1" x14ac:dyDescent="0.3">
      <c r="A292576" s="17"/>
    </row>
    <row r="292868" spans="1:1" ht="17.100000000000001" customHeight="1" x14ac:dyDescent="0.3">
      <c r="A292868" s="17"/>
    </row>
    <row r="293160" spans="1:1" ht="17.100000000000001" customHeight="1" x14ac:dyDescent="0.3">
      <c r="A293160" s="17"/>
    </row>
    <row r="293452" spans="1:1" ht="17.100000000000001" customHeight="1" x14ac:dyDescent="0.3">
      <c r="A293452" s="17"/>
    </row>
    <row r="293744" spans="1:1" ht="17.100000000000001" customHeight="1" x14ac:dyDescent="0.3">
      <c r="A293744" s="17"/>
    </row>
    <row r="294036" spans="1:1" ht="17.100000000000001" customHeight="1" x14ac:dyDescent="0.3">
      <c r="A294036" s="17"/>
    </row>
    <row r="294328" spans="1:1" ht="17.100000000000001" customHeight="1" x14ac:dyDescent="0.3">
      <c r="A294328" s="17"/>
    </row>
    <row r="294620" spans="1:1" ht="17.100000000000001" customHeight="1" x14ac:dyDescent="0.3">
      <c r="A294620" s="17"/>
    </row>
    <row r="294912" spans="1:1" ht="17.100000000000001" customHeight="1" x14ac:dyDescent="0.3">
      <c r="A294912" s="17"/>
    </row>
    <row r="295204" spans="1:1" ht="17.100000000000001" customHeight="1" x14ac:dyDescent="0.3">
      <c r="A295204" s="17"/>
    </row>
    <row r="295496" spans="1:1" ht="17.100000000000001" customHeight="1" x14ac:dyDescent="0.3">
      <c r="A295496" s="17"/>
    </row>
    <row r="295788" spans="1:1" ht="17.100000000000001" customHeight="1" x14ac:dyDescent="0.3">
      <c r="A295788" s="17"/>
    </row>
    <row r="296080" spans="1:1" ht="17.100000000000001" customHeight="1" x14ac:dyDescent="0.3">
      <c r="A296080" s="17"/>
    </row>
    <row r="296372" spans="1:1" ht="17.100000000000001" customHeight="1" x14ac:dyDescent="0.3">
      <c r="A296372" s="17"/>
    </row>
    <row r="296664" spans="1:1" ht="17.100000000000001" customHeight="1" x14ac:dyDescent="0.3">
      <c r="A296664" s="17"/>
    </row>
    <row r="296956" spans="1:1" ht="17.100000000000001" customHeight="1" x14ac:dyDescent="0.3">
      <c r="A296956" s="17"/>
    </row>
    <row r="297248" spans="1:1" ht="17.100000000000001" customHeight="1" x14ac:dyDescent="0.3">
      <c r="A297248" s="17"/>
    </row>
    <row r="297540" spans="1:1" ht="17.100000000000001" customHeight="1" x14ac:dyDescent="0.3">
      <c r="A297540" s="17"/>
    </row>
    <row r="297832" spans="1:1" ht="17.100000000000001" customHeight="1" x14ac:dyDescent="0.3">
      <c r="A297832" s="17"/>
    </row>
    <row r="298124" spans="1:1" ht="17.100000000000001" customHeight="1" x14ac:dyDescent="0.3">
      <c r="A298124" s="17"/>
    </row>
    <row r="298416" spans="1:1" ht="17.100000000000001" customHeight="1" x14ac:dyDescent="0.3">
      <c r="A298416" s="17"/>
    </row>
    <row r="298708" spans="1:1" ht="17.100000000000001" customHeight="1" x14ac:dyDescent="0.3">
      <c r="A298708" s="17"/>
    </row>
    <row r="299000" spans="1:1" ht="17.100000000000001" customHeight="1" x14ac:dyDescent="0.3">
      <c r="A299000" s="17"/>
    </row>
    <row r="299292" spans="1:1" ht="17.100000000000001" customHeight="1" x14ac:dyDescent="0.3">
      <c r="A299292" s="17"/>
    </row>
    <row r="299584" spans="1:1" ht="17.100000000000001" customHeight="1" x14ac:dyDescent="0.3">
      <c r="A299584" s="17"/>
    </row>
    <row r="299876" spans="1:1" ht="17.100000000000001" customHeight="1" x14ac:dyDescent="0.3">
      <c r="A299876" s="17"/>
    </row>
    <row r="300168" spans="1:1" ht="17.100000000000001" customHeight="1" x14ac:dyDescent="0.3">
      <c r="A300168" s="17"/>
    </row>
    <row r="300460" spans="1:1" ht="17.100000000000001" customHeight="1" x14ac:dyDescent="0.3">
      <c r="A300460" s="17"/>
    </row>
    <row r="300752" spans="1:1" ht="17.100000000000001" customHeight="1" x14ac:dyDescent="0.3">
      <c r="A300752" s="17"/>
    </row>
    <row r="301044" spans="1:1" ht="17.100000000000001" customHeight="1" x14ac:dyDescent="0.3">
      <c r="A301044" s="17"/>
    </row>
    <row r="301336" spans="1:1" ht="17.100000000000001" customHeight="1" x14ac:dyDescent="0.3">
      <c r="A301336" s="17"/>
    </row>
    <row r="301628" spans="1:1" ht="17.100000000000001" customHeight="1" x14ac:dyDescent="0.3">
      <c r="A301628" s="17"/>
    </row>
    <row r="301920" spans="1:1" ht="17.100000000000001" customHeight="1" x14ac:dyDescent="0.3">
      <c r="A301920" s="17"/>
    </row>
    <row r="302212" spans="1:1" ht="17.100000000000001" customHeight="1" x14ac:dyDescent="0.3">
      <c r="A302212" s="17"/>
    </row>
    <row r="302504" spans="1:1" ht="17.100000000000001" customHeight="1" x14ac:dyDescent="0.3">
      <c r="A302504" s="17"/>
    </row>
    <row r="302796" spans="1:1" ht="17.100000000000001" customHeight="1" x14ac:dyDescent="0.3">
      <c r="A302796" s="17"/>
    </row>
    <row r="303088" spans="1:1" ht="17.100000000000001" customHeight="1" x14ac:dyDescent="0.3">
      <c r="A303088" s="17"/>
    </row>
    <row r="303380" spans="1:1" ht="17.100000000000001" customHeight="1" x14ac:dyDescent="0.3">
      <c r="A303380" s="17"/>
    </row>
    <row r="303672" spans="1:1" ht="17.100000000000001" customHeight="1" x14ac:dyDescent="0.3">
      <c r="A303672" s="17"/>
    </row>
    <row r="303964" spans="1:1" ht="17.100000000000001" customHeight="1" x14ac:dyDescent="0.3">
      <c r="A303964" s="17"/>
    </row>
    <row r="304256" spans="1:1" ht="17.100000000000001" customHeight="1" x14ac:dyDescent="0.3">
      <c r="A304256" s="17"/>
    </row>
    <row r="304548" spans="1:1" ht="17.100000000000001" customHeight="1" x14ac:dyDescent="0.3">
      <c r="A304548" s="17"/>
    </row>
    <row r="304840" spans="1:1" ht="17.100000000000001" customHeight="1" x14ac:dyDescent="0.3">
      <c r="A304840" s="17"/>
    </row>
    <row r="305132" spans="1:1" ht="17.100000000000001" customHeight="1" x14ac:dyDescent="0.3">
      <c r="A305132" s="17"/>
    </row>
    <row r="305424" spans="1:1" ht="17.100000000000001" customHeight="1" x14ac:dyDescent="0.3">
      <c r="A305424" s="17"/>
    </row>
    <row r="305716" spans="1:1" ht="17.100000000000001" customHeight="1" x14ac:dyDescent="0.3">
      <c r="A305716" s="17"/>
    </row>
    <row r="306008" spans="1:1" ht="17.100000000000001" customHeight="1" x14ac:dyDescent="0.3">
      <c r="A306008" s="17"/>
    </row>
    <row r="306300" spans="1:1" ht="17.100000000000001" customHeight="1" x14ac:dyDescent="0.3">
      <c r="A306300" s="17"/>
    </row>
    <row r="306592" spans="1:1" ht="17.100000000000001" customHeight="1" x14ac:dyDescent="0.3">
      <c r="A306592" s="17"/>
    </row>
    <row r="306884" spans="1:1" ht="17.100000000000001" customHeight="1" x14ac:dyDescent="0.3">
      <c r="A306884" s="17"/>
    </row>
    <row r="307176" spans="1:1" ht="17.100000000000001" customHeight="1" x14ac:dyDescent="0.3">
      <c r="A307176" s="17"/>
    </row>
    <row r="307468" spans="1:1" ht="17.100000000000001" customHeight="1" x14ac:dyDescent="0.3">
      <c r="A307468" s="17"/>
    </row>
    <row r="307760" spans="1:1" ht="17.100000000000001" customHeight="1" x14ac:dyDescent="0.3">
      <c r="A307760" s="17"/>
    </row>
    <row r="308052" spans="1:1" ht="17.100000000000001" customHeight="1" x14ac:dyDescent="0.3">
      <c r="A308052" s="17"/>
    </row>
    <row r="308344" spans="1:1" ht="17.100000000000001" customHeight="1" x14ac:dyDescent="0.3">
      <c r="A308344" s="17"/>
    </row>
    <row r="308636" spans="1:1" ht="17.100000000000001" customHeight="1" x14ac:dyDescent="0.3">
      <c r="A308636" s="17"/>
    </row>
    <row r="308928" spans="1:1" ht="17.100000000000001" customHeight="1" x14ac:dyDescent="0.3">
      <c r="A308928" s="17"/>
    </row>
    <row r="309220" spans="1:1" ht="17.100000000000001" customHeight="1" x14ac:dyDescent="0.3">
      <c r="A309220" s="17"/>
    </row>
    <row r="309512" spans="1:1" ht="17.100000000000001" customHeight="1" x14ac:dyDescent="0.3">
      <c r="A309512" s="17"/>
    </row>
    <row r="309804" spans="1:1" ht="17.100000000000001" customHeight="1" x14ac:dyDescent="0.3">
      <c r="A309804" s="17"/>
    </row>
    <row r="310096" spans="1:1" ht="17.100000000000001" customHeight="1" x14ac:dyDescent="0.3">
      <c r="A310096" s="17"/>
    </row>
    <row r="310388" spans="1:1" ht="17.100000000000001" customHeight="1" x14ac:dyDescent="0.3">
      <c r="A310388" s="17"/>
    </row>
    <row r="310680" spans="1:1" ht="17.100000000000001" customHeight="1" x14ac:dyDescent="0.3">
      <c r="A310680" s="17"/>
    </row>
    <row r="310972" spans="1:1" ht="17.100000000000001" customHeight="1" x14ac:dyDescent="0.3">
      <c r="A310972" s="17"/>
    </row>
    <row r="311264" spans="1:1" ht="17.100000000000001" customHeight="1" x14ac:dyDescent="0.3">
      <c r="A311264" s="17"/>
    </row>
    <row r="311556" spans="1:1" ht="17.100000000000001" customHeight="1" x14ac:dyDescent="0.3">
      <c r="A311556" s="17"/>
    </row>
    <row r="311848" spans="1:1" ht="17.100000000000001" customHeight="1" x14ac:dyDescent="0.3">
      <c r="A311848" s="17"/>
    </row>
    <row r="312140" spans="1:1" ht="17.100000000000001" customHeight="1" x14ac:dyDescent="0.3">
      <c r="A312140" s="17"/>
    </row>
    <row r="312432" spans="1:1" ht="17.100000000000001" customHeight="1" x14ac:dyDescent="0.3">
      <c r="A312432" s="17"/>
    </row>
    <row r="312724" spans="1:1" ht="17.100000000000001" customHeight="1" x14ac:dyDescent="0.3">
      <c r="A312724" s="17"/>
    </row>
    <row r="313016" spans="1:1" ht="17.100000000000001" customHeight="1" x14ac:dyDescent="0.3">
      <c r="A313016" s="17"/>
    </row>
    <row r="313308" spans="1:1" ht="17.100000000000001" customHeight="1" x14ac:dyDescent="0.3">
      <c r="A313308" s="17"/>
    </row>
    <row r="313600" spans="1:1" ht="17.100000000000001" customHeight="1" x14ac:dyDescent="0.3">
      <c r="A313600" s="17"/>
    </row>
    <row r="313892" spans="1:1" ht="17.100000000000001" customHeight="1" x14ac:dyDescent="0.3">
      <c r="A313892" s="17"/>
    </row>
    <row r="314184" spans="1:1" ht="17.100000000000001" customHeight="1" x14ac:dyDescent="0.3">
      <c r="A314184" s="17"/>
    </row>
    <row r="314476" spans="1:1" ht="17.100000000000001" customHeight="1" x14ac:dyDescent="0.3">
      <c r="A314476" s="17"/>
    </row>
    <row r="314768" spans="1:1" ht="17.100000000000001" customHeight="1" x14ac:dyDescent="0.3">
      <c r="A314768" s="17"/>
    </row>
    <row r="315060" spans="1:1" ht="17.100000000000001" customHeight="1" x14ac:dyDescent="0.3">
      <c r="A315060" s="17"/>
    </row>
    <row r="315352" spans="1:1" ht="17.100000000000001" customHeight="1" x14ac:dyDescent="0.3">
      <c r="A315352" s="17"/>
    </row>
    <row r="315644" spans="1:1" ht="17.100000000000001" customHeight="1" x14ac:dyDescent="0.3">
      <c r="A315644" s="17"/>
    </row>
    <row r="315936" spans="1:1" ht="17.100000000000001" customHeight="1" x14ac:dyDescent="0.3">
      <c r="A315936" s="17"/>
    </row>
    <row r="316228" spans="1:1" ht="17.100000000000001" customHeight="1" x14ac:dyDescent="0.3">
      <c r="A316228" s="17"/>
    </row>
    <row r="316520" spans="1:1" ht="17.100000000000001" customHeight="1" x14ac:dyDescent="0.3">
      <c r="A316520" s="17"/>
    </row>
    <row r="316812" spans="1:1" ht="17.100000000000001" customHeight="1" x14ac:dyDescent="0.3">
      <c r="A316812" s="17"/>
    </row>
    <row r="317104" spans="1:1" ht="17.100000000000001" customHeight="1" x14ac:dyDescent="0.3">
      <c r="A317104" s="17"/>
    </row>
    <row r="317396" spans="1:1" ht="17.100000000000001" customHeight="1" x14ac:dyDescent="0.3">
      <c r="A317396" s="17"/>
    </row>
    <row r="317688" spans="1:1" ht="17.100000000000001" customHeight="1" x14ac:dyDescent="0.3">
      <c r="A317688" s="17"/>
    </row>
    <row r="317980" spans="1:1" ht="17.100000000000001" customHeight="1" x14ac:dyDescent="0.3">
      <c r="A317980" s="17"/>
    </row>
    <row r="318272" spans="1:1" ht="17.100000000000001" customHeight="1" x14ac:dyDescent="0.3">
      <c r="A318272" s="17"/>
    </row>
    <row r="318564" spans="1:1" ht="17.100000000000001" customHeight="1" x14ac:dyDescent="0.3">
      <c r="A318564" s="17"/>
    </row>
    <row r="318856" spans="1:1" ht="17.100000000000001" customHeight="1" x14ac:dyDescent="0.3">
      <c r="A318856" s="17"/>
    </row>
    <row r="319148" spans="1:1" ht="17.100000000000001" customHeight="1" x14ac:dyDescent="0.3">
      <c r="A319148" s="17"/>
    </row>
    <row r="319440" spans="1:1" ht="17.100000000000001" customHeight="1" x14ac:dyDescent="0.3">
      <c r="A319440" s="17"/>
    </row>
    <row r="319732" spans="1:1" ht="17.100000000000001" customHeight="1" x14ac:dyDescent="0.3">
      <c r="A319732" s="17"/>
    </row>
    <row r="320024" spans="1:1" ht="17.100000000000001" customHeight="1" x14ac:dyDescent="0.3">
      <c r="A320024" s="17"/>
    </row>
    <row r="320316" spans="1:1" ht="17.100000000000001" customHeight="1" x14ac:dyDescent="0.3">
      <c r="A320316" s="17"/>
    </row>
    <row r="320608" spans="1:1" ht="17.100000000000001" customHeight="1" x14ac:dyDescent="0.3">
      <c r="A320608" s="17"/>
    </row>
    <row r="320900" spans="1:1" ht="17.100000000000001" customHeight="1" x14ac:dyDescent="0.3">
      <c r="A320900" s="17"/>
    </row>
    <row r="321192" spans="1:1" ht="17.100000000000001" customHeight="1" x14ac:dyDescent="0.3">
      <c r="A321192" s="17"/>
    </row>
    <row r="321484" spans="1:1" ht="17.100000000000001" customHeight="1" x14ac:dyDescent="0.3">
      <c r="A321484" s="17"/>
    </row>
    <row r="321776" spans="1:1" ht="17.100000000000001" customHeight="1" x14ac:dyDescent="0.3">
      <c r="A321776" s="17"/>
    </row>
    <row r="322068" spans="1:1" ht="17.100000000000001" customHeight="1" x14ac:dyDescent="0.3">
      <c r="A322068" s="17"/>
    </row>
    <row r="322360" spans="1:1" ht="17.100000000000001" customHeight="1" x14ac:dyDescent="0.3">
      <c r="A322360" s="17"/>
    </row>
    <row r="322652" spans="1:1" ht="17.100000000000001" customHeight="1" x14ac:dyDescent="0.3">
      <c r="A322652" s="17"/>
    </row>
    <row r="322944" spans="1:1" ht="17.100000000000001" customHeight="1" x14ac:dyDescent="0.3">
      <c r="A322944" s="17"/>
    </row>
    <row r="323236" spans="1:1" ht="17.100000000000001" customHeight="1" x14ac:dyDescent="0.3">
      <c r="A323236" s="17"/>
    </row>
    <row r="323528" spans="1:1" ht="17.100000000000001" customHeight="1" x14ac:dyDescent="0.3">
      <c r="A323528" s="17"/>
    </row>
    <row r="323820" spans="1:1" ht="17.100000000000001" customHeight="1" x14ac:dyDescent="0.3">
      <c r="A323820" s="17"/>
    </row>
    <row r="324112" spans="1:1" ht="17.100000000000001" customHeight="1" x14ac:dyDescent="0.3">
      <c r="A324112" s="17"/>
    </row>
    <row r="324404" spans="1:1" ht="17.100000000000001" customHeight="1" x14ac:dyDescent="0.3">
      <c r="A324404" s="17"/>
    </row>
    <row r="324696" spans="1:1" ht="17.100000000000001" customHeight="1" x14ac:dyDescent="0.3">
      <c r="A324696" s="17"/>
    </row>
    <row r="324988" spans="1:1" ht="17.100000000000001" customHeight="1" x14ac:dyDescent="0.3">
      <c r="A324988" s="17"/>
    </row>
    <row r="325280" spans="1:1" ht="17.100000000000001" customHeight="1" x14ac:dyDescent="0.3">
      <c r="A325280" s="17"/>
    </row>
    <row r="325572" spans="1:1" ht="17.100000000000001" customHeight="1" x14ac:dyDescent="0.3">
      <c r="A325572" s="17"/>
    </row>
    <row r="325864" spans="1:1" ht="17.100000000000001" customHeight="1" x14ac:dyDescent="0.3">
      <c r="A325864" s="17"/>
    </row>
    <row r="326156" spans="1:1" ht="17.100000000000001" customHeight="1" x14ac:dyDescent="0.3">
      <c r="A326156" s="17"/>
    </row>
    <row r="326448" spans="1:1" ht="17.100000000000001" customHeight="1" x14ac:dyDescent="0.3">
      <c r="A326448" s="17"/>
    </row>
    <row r="326740" spans="1:1" ht="17.100000000000001" customHeight="1" x14ac:dyDescent="0.3">
      <c r="A326740" s="17"/>
    </row>
    <row r="327032" spans="1:1" ht="17.100000000000001" customHeight="1" x14ac:dyDescent="0.3">
      <c r="A327032" s="17"/>
    </row>
    <row r="327324" spans="1:1" ht="17.100000000000001" customHeight="1" x14ac:dyDescent="0.3">
      <c r="A327324" s="17"/>
    </row>
    <row r="327616" spans="1:1" ht="17.100000000000001" customHeight="1" x14ac:dyDescent="0.3">
      <c r="A327616" s="17"/>
    </row>
    <row r="327908" spans="1:1" ht="17.100000000000001" customHeight="1" x14ac:dyDescent="0.3">
      <c r="A327908" s="17"/>
    </row>
    <row r="328200" spans="1:1" ht="17.100000000000001" customHeight="1" x14ac:dyDescent="0.3">
      <c r="A328200" s="17"/>
    </row>
    <row r="328492" spans="1:1" ht="17.100000000000001" customHeight="1" x14ac:dyDescent="0.3">
      <c r="A328492" s="17"/>
    </row>
    <row r="328784" spans="1:1" ht="17.100000000000001" customHeight="1" x14ac:dyDescent="0.3">
      <c r="A328784" s="17"/>
    </row>
    <row r="329076" spans="1:1" ht="17.100000000000001" customHeight="1" x14ac:dyDescent="0.3">
      <c r="A329076" s="17"/>
    </row>
    <row r="329368" spans="1:1" ht="17.100000000000001" customHeight="1" x14ac:dyDescent="0.3">
      <c r="A329368" s="17"/>
    </row>
    <row r="329660" spans="1:1" ht="17.100000000000001" customHeight="1" x14ac:dyDescent="0.3">
      <c r="A329660" s="17"/>
    </row>
    <row r="329952" spans="1:1" ht="17.100000000000001" customHeight="1" x14ac:dyDescent="0.3">
      <c r="A329952" s="17"/>
    </row>
    <row r="330244" spans="1:1" ht="17.100000000000001" customHeight="1" x14ac:dyDescent="0.3">
      <c r="A330244" s="17"/>
    </row>
    <row r="330536" spans="1:1" ht="17.100000000000001" customHeight="1" x14ac:dyDescent="0.3">
      <c r="A330536" s="17"/>
    </row>
    <row r="330828" spans="1:1" ht="17.100000000000001" customHeight="1" x14ac:dyDescent="0.3">
      <c r="A330828" s="17"/>
    </row>
    <row r="331120" spans="1:1" ht="17.100000000000001" customHeight="1" x14ac:dyDescent="0.3">
      <c r="A331120" s="17"/>
    </row>
    <row r="331412" spans="1:1" ht="17.100000000000001" customHeight="1" x14ac:dyDescent="0.3">
      <c r="A331412" s="17"/>
    </row>
    <row r="331704" spans="1:1" ht="17.100000000000001" customHeight="1" x14ac:dyDescent="0.3">
      <c r="A331704" s="17"/>
    </row>
    <row r="331996" spans="1:1" ht="17.100000000000001" customHeight="1" x14ac:dyDescent="0.3">
      <c r="A331996" s="17"/>
    </row>
    <row r="332288" spans="1:1" ht="17.100000000000001" customHeight="1" x14ac:dyDescent="0.3">
      <c r="A332288" s="17"/>
    </row>
    <row r="332580" spans="1:1" ht="17.100000000000001" customHeight="1" x14ac:dyDescent="0.3">
      <c r="A332580" s="17"/>
    </row>
    <row r="332872" spans="1:1" ht="17.100000000000001" customHeight="1" x14ac:dyDescent="0.3">
      <c r="A332872" s="17"/>
    </row>
    <row r="333164" spans="1:1" ht="17.100000000000001" customHeight="1" x14ac:dyDescent="0.3">
      <c r="A333164" s="17"/>
    </row>
    <row r="333456" spans="1:1" ht="17.100000000000001" customHeight="1" x14ac:dyDescent="0.3">
      <c r="A333456" s="17"/>
    </row>
    <row r="333748" spans="1:1" ht="17.100000000000001" customHeight="1" x14ac:dyDescent="0.3">
      <c r="A333748" s="17"/>
    </row>
    <row r="334040" spans="1:1" ht="17.100000000000001" customHeight="1" x14ac:dyDescent="0.3">
      <c r="A334040" s="17"/>
    </row>
    <row r="334332" spans="1:1" ht="17.100000000000001" customHeight="1" x14ac:dyDescent="0.3">
      <c r="A334332" s="17"/>
    </row>
    <row r="334624" spans="1:1" ht="17.100000000000001" customHeight="1" x14ac:dyDescent="0.3">
      <c r="A334624" s="17"/>
    </row>
    <row r="334916" spans="1:1" ht="17.100000000000001" customHeight="1" x14ac:dyDescent="0.3">
      <c r="A334916" s="17"/>
    </row>
    <row r="335208" spans="1:1" ht="17.100000000000001" customHeight="1" x14ac:dyDescent="0.3">
      <c r="A335208" s="17"/>
    </row>
    <row r="335500" spans="1:1" ht="17.100000000000001" customHeight="1" x14ac:dyDescent="0.3">
      <c r="A335500" s="17"/>
    </row>
    <row r="335792" spans="1:1" ht="17.100000000000001" customHeight="1" x14ac:dyDescent="0.3">
      <c r="A335792" s="17"/>
    </row>
    <row r="336084" spans="1:1" ht="17.100000000000001" customHeight="1" x14ac:dyDescent="0.3">
      <c r="A336084" s="17"/>
    </row>
    <row r="336376" spans="1:1" ht="17.100000000000001" customHeight="1" x14ac:dyDescent="0.3">
      <c r="A336376" s="17"/>
    </row>
    <row r="336668" spans="1:1" ht="17.100000000000001" customHeight="1" x14ac:dyDescent="0.3">
      <c r="A336668" s="17"/>
    </row>
    <row r="336960" spans="1:1" ht="17.100000000000001" customHeight="1" x14ac:dyDescent="0.3">
      <c r="A336960" s="17"/>
    </row>
    <row r="337252" spans="1:1" ht="17.100000000000001" customHeight="1" x14ac:dyDescent="0.3">
      <c r="A337252" s="17"/>
    </row>
    <row r="337544" spans="1:1" ht="17.100000000000001" customHeight="1" x14ac:dyDescent="0.3">
      <c r="A337544" s="17"/>
    </row>
    <row r="337836" spans="1:1" ht="17.100000000000001" customHeight="1" x14ac:dyDescent="0.3">
      <c r="A337836" s="17"/>
    </row>
    <row r="338128" spans="1:1" ht="17.100000000000001" customHeight="1" x14ac:dyDescent="0.3">
      <c r="A338128" s="17"/>
    </row>
    <row r="338420" spans="1:1" ht="17.100000000000001" customHeight="1" x14ac:dyDescent="0.3">
      <c r="A338420" s="17"/>
    </row>
    <row r="338712" spans="1:1" ht="17.100000000000001" customHeight="1" x14ac:dyDescent="0.3">
      <c r="A338712" s="17"/>
    </row>
    <row r="339004" spans="1:1" ht="17.100000000000001" customHeight="1" x14ac:dyDescent="0.3">
      <c r="A339004" s="17"/>
    </row>
    <row r="339296" spans="1:1" ht="17.100000000000001" customHeight="1" x14ac:dyDescent="0.3">
      <c r="A339296" s="17"/>
    </row>
    <row r="339588" spans="1:1" ht="17.100000000000001" customHeight="1" x14ac:dyDescent="0.3">
      <c r="A339588" s="17"/>
    </row>
    <row r="339880" spans="1:1" ht="17.100000000000001" customHeight="1" x14ac:dyDescent="0.3">
      <c r="A339880" s="17"/>
    </row>
    <row r="340172" spans="1:1" ht="17.100000000000001" customHeight="1" x14ac:dyDescent="0.3">
      <c r="A340172" s="17"/>
    </row>
    <row r="340464" spans="1:1" ht="17.100000000000001" customHeight="1" x14ac:dyDescent="0.3">
      <c r="A340464" s="17"/>
    </row>
    <row r="340756" spans="1:1" ht="17.100000000000001" customHeight="1" x14ac:dyDescent="0.3">
      <c r="A340756" s="17"/>
    </row>
    <row r="341048" spans="1:1" ht="17.100000000000001" customHeight="1" x14ac:dyDescent="0.3">
      <c r="A341048" s="17"/>
    </row>
    <row r="341340" spans="1:1" ht="17.100000000000001" customHeight="1" x14ac:dyDescent="0.3">
      <c r="A341340" s="17"/>
    </row>
    <row r="341632" spans="1:1" ht="17.100000000000001" customHeight="1" x14ac:dyDescent="0.3">
      <c r="A341632" s="17"/>
    </row>
    <row r="341924" spans="1:1" ht="17.100000000000001" customHeight="1" x14ac:dyDescent="0.3">
      <c r="A341924" s="17"/>
    </row>
    <row r="342216" spans="1:1" ht="17.100000000000001" customHeight="1" x14ac:dyDescent="0.3">
      <c r="A342216" s="17"/>
    </row>
    <row r="342508" spans="1:1" ht="17.100000000000001" customHeight="1" x14ac:dyDescent="0.3">
      <c r="A342508" s="17"/>
    </row>
    <row r="342800" spans="1:1" ht="17.100000000000001" customHeight="1" x14ac:dyDescent="0.3">
      <c r="A342800" s="17"/>
    </row>
    <row r="343092" spans="1:1" ht="17.100000000000001" customHeight="1" x14ac:dyDescent="0.3">
      <c r="A343092" s="17"/>
    </row>
    <row r="343384" spans="1:1" ht="17.100000000000001" customHeight="1" x14ac:dyDescent="0.3">
      <c r="A343384" s="17"/>
    </row>
    <row r="343676" spans="1:1" ht="17.100000000000001" customHeight="1" x14ac:dyDescent="0.3">
      <c r="A343676" s="17"/>
    </row>
    <row r="343968" spans="1:1" ht="17.100000000000001" customHeight="1" x14ac:dyDescent="0.3">
      <c r="A343968" s="17"/>
    </row>
    <row r="344260" spans="1:1" ht="17.100000000000001" customHeight="1" x14ac:dyDescent="0.3">
      <c r="A344260" s="17"/>
    </row>
    <row r="344552" spans="1:1" ht="17.100000000000001" customHeight="1" x14ac:dyDescent="0.3">
      <c r="A344552" s="17"/>
    </row>
    <row r="344844" spans="1:1" ht="17.100000000000001" customHeight="1" x14ac:dyDescent="0.3">
      <c r="A344844" s="17"/>
    </row>
    <row r="345136" spans="1:1" ht="17.100000000000001" customHeight="1" x14ac:dyDescent="0.3">
      <c r="A345136" s="17"/>
    </row>
    <row r="345428" spans="1:1" ht="17.100000000000001" customHeight="1" x14ac:dyDescent="0.3">
      <c r="A345428" s="17"/>
    </row>
    <row r="345720" spans="1:1" ht="17.100000000000001" customHeight="1" x14ac:dyDescent="0.3">
      <c r="A345720" s="17"/>
    </row>
    <row r="346012" spans="1:1" ht="17.100000000000001" customHeight="1" x14ac:dyDescent="0.3">
      <c r="A346012" s="17"/>
    </row>
    <row r="346304" spans="1:1" ht="17.100000000000001" customHeight="1" x14ac:dyDescent="0.3">
      <c r="A346304" s="17"/>
    </row>
    <row r="346596" spans="1:1" ht="17.100000000000001" customHeight="1" x14ac:dyDescent="0.3">
      <c r="A346596" s="17"/>
    </row>
    <row r="346888" spans="1:1" ht="17.100000000000001" customHeight="1" x14ac:dyDescent="0.3">
      <c r="A346888" s="17"/>
    </row>
    <row r="347180" spans="1:1" ht="17.100000000000001" customHeight="1" x14ac:dyDescent="0.3">
      <c r="A347180" s="17"/>
    </row>
    <row r="347472" spans="1:1" ht="17.100000000000001" customHeight="1" x14ac:dyDescent="0.3">
      <c r="A347472" s="17"/>
    </row>
    <row r="347764" spans="1:1" ht="17.100000000000001" customHeight="1" x14ac:dyDescent="0.3">
      <c r="A347764" s="17"/>
    </row>
    <row r="348056" spans="1:1" ht="17.100000000000001" customHeight="1" x14ac:dyDescent="0.3">
      <c r="A348056" s="17"/>
    </row>
    <row r="348348" spans="1:1" ht="17.100000000000001" customHeight="1" x14ac:dyDescent="0.3">
      <c r="A348348" s="17"/>
    </row>
    <row r="348640" spans="1:1" ht="17.100000000000001" customHeight="1" x14ac:dyDescent="0.3">
      <c r="A348640" s="17"/>
    </row>
    <row r="348932" spans="1:1" ht="17.100000000000001" customHeight="1" x14ac:dyDescent="0.3">
      <c r="A348932" s="17"/>
    </row>
    <row r="349224" spans="1:1" ht="17.100000000000001" customHeight="1" x14ac:dyDescent="0.3">
      <c r="A349224" s="17"/>
    </row>
    <row r="349516" spans="1:1" ht="17.100000000000001" customHeight="1" x14ac:dyDescent="0.3">
      <c r="A349516" s="17"/>
    </row>
    <row r="349808" spans="1:1" ht="17.100000000000001" customHeight="1" x14ac:dyDescent="0.3">
      <c r="A349808" s="17"/>
    </row>
    <row r="350100" spans="1:1" ht="17.100000000000001" customHeight="1" x14ac:dyDescent="0.3">
      <c r="A350100" s="17"/>
    </row>
    <row r="350392" spans="1:1" ht="17.100000000000001" customHeight="1" x14ac:dyDescent="0.3">
      <c r="A350392" s="17"/>
    </row>
    <row r="350684" spans="1:1" ht="17.100000000000001" customHeight="1" x14ac:dyDescent="0.3">
      <c r="A350684" s="17"/>
    </row>
    <row r="350976" spans="1:1" ht="17.100000000000001" customHeight="1" x14ac:dyDescent="0.3">
      <c r="A350976" s="17"/>
    </row>
    <row r="351268" spans="1:1" ht="17.100000000000001" customHeight="1" x14ac:dyDescent="0.3">
      <c r="A351268" s="17"/>
    </row>
    <row r="351560" spans="1:1" ht="17.100000000000001" customHeight="1" x14ac:dyDescent="0.3">
      <c r="A351560" s="17"/>
    </row>
    <row r="351852" spans="1:1" ht="17.100000000000001" customHeight="1" x14ac:dyDescent="0.3">
      <c r="A351852" s="17"/>
    </row>
    <row r="352144" spans="1:1" ht="17.100000000000001" customHeight="1" x14ac:dyDescent="0.3">
      <c r="A352144" s="17"/>
    </row>
    <row r="352436" spans="1:1" ht="17.100000000000001" customHeight="1" x14ac:dyDescent="0.3">
      <c r="A352436" s="17"/>
    </row>
    <row r="352728" spans="1:1" ht="17.100000000000001" customHeight="1" x14ac:dyDescent="0.3">
      <c r="A352728" s="17"/>
    </row>
    <row r="353020" spans="1:1" ht="17.100000000000001" customHeight="1" x14ac:dyDescent="0.3">
      <c r="A353020" s="17"/>
    </row>
    <row r="353312" spans="1:1" ht="17.100000000000001" customHeight="1" x14ac:dyDescent="0.3">
      <c r="A353312" s="17"/>
    </row>
    <row r="353604" spans="1:1" ht="17.100000000000001" customHeight="1" x14ac:dyDescent="0.3">
      <c r="A353604" s="17"/>
    </row>
    <row r="353896" spans="1:1" ht="17.100000000000001" customHeight="1" x14ac:dyDescent="0.3">
      <c r="A353896" s="17"/>
    </row>
    <row r="354188" spans="1:1" ht="17.100000000000001" customHeight="1" x14ac:dyDescent="0.3">
      <c r="A354188" s="17"/>
    </row>
    <row r="354480" spans="1:1" ht="17.100000000000001" customHeight="1" x14ac:dyDescent="0.3">
      <c r="A354480" s="17"/>
    </row>
    <row r="354772" spans="1:1" ht="17.100000000000001" customHeight="1" x14ac:dyDescent="0.3">
      <c r="A354772" s="17"/>
    </row>
    <row r="355064" spans="1:1" ht="17.100000000000001" customHeight="1" x14ac:dyDescent="0.3">
      <c r="A355064" s="17"/>
    </row>
    <row r="355356" spans="1:1" ht="17.100000000000001" customHeight="1" x14ac:dyDescent="0.3">
      <c r="A355356" s="17"/>
    </row>
    <row r="355648" spans="1:1" ht="17.100000000000001" customHeight="1" x14ac:dyDescent="0.3">
      <c r="A355648" s="17"/>
    </row>
    <row r="355940" spans="1:1" ht="17.100000000000001" customHeight="1" x14ac:dyDescent="0.3">
      <c r="A355940" s="17"/>
    </row>
    <row r="356232" spans="1:1" ht="17.100000000000001" customHeight="1" x14ac:dyDescent="0.3">
      <c r="A356232" s="17"/>
    </row>
    <row r="356524" spans="1:1" ht="17.100000000000001" customHeight="1" x14ac:dyDescent="0.3">
      <c r="A356524" s="17"/>
    </row>
    <row r="356816" spans="1:1" ht="17.100000000000001" customHeight="1" x14ac:dyDescent="0.3">
      <c r="A356816" s="17"/>
    </row>
    <row r="357108" spans="1:1" ht="17.100000000000001" customHeight="1" x14ac:dyDescent="0.3">
      <c r="A357108" s="17"/>
    </row>
    <row r="357400" spans="1:1" ht="17.100000000000001" customHeight="1" x14ac:dyDescent="0.3">
      <c r="A357400" s="17"/>
    </row>
    <row r="357692" spans="1:1" ht="17.100000000000001" customHeight="1" x14ac:dyDescent="0.3">
      <c r="A357692" s="17"/>
    </row>
    <row r="357984" spans="1:1" ht="17.100000000000001" customHeight="1" x14ac:dyDescent="0.3">
      <c r="A357984" s="17"/>
    </row>
    <row r="358276" spans="1:1" ht="17.100000000000001" customHeight="1" x14ac:dyDescent="0.3">
      <c r="A358276" s="17"/>
    </row>
    <row r="358568" spans="1:1" ht="17.100000000000001" customHeight="1" x14ac:dyDescent="0.3">
      <c r="A358568" s="17"/>
    </row>
    <row r="358860" spans="1:1" ht="17.100000000000001" customHeight="1" x14ac:dyDescent="0.3">
      <c r="A358860" s="17"/>
    </row>
    <row r="359152" spans="1:1" ht="17.100000000000001" customHeight="1" x14ac:dyDescent="0.3">
      <c r="A359152" s="17"/>
    </row>
    <row r="359444" spans="1:1" ht="17.100000000000001" customHeight="1" x14ac:dyDescent="0.3">
      <c r="A359444" s="17"/>
    </row>
    <row r="359736" spans="1:1" ht="17.100000000000001" customHeight="1" x14ac:dyDescent="0.3">
      <c r="A359736" s="17"/>
    </row>
    <row r="360028" spans="1:1" ht="17.100000000000001" customHeight="1" x14ac:dyDescent="0.3">
      <c r="A360028" s="17"/>
    </row>
    <row r="360320" spans="1:1" ht="17.100000000000001" customHeight="1" x14ac:dyDescent="0.3">
      <c r="A360320" s="17"/>
    </row>
    <row r="360612" spans="1:1" ht="17.100000000000001" customHeight="1" x14ac:dyDescent="0.3">
      <c r="A360612" s="17"/>
    </row>
    <row r="360904" spans="1:1" ht="17.100000000000001" customHeight="1" x14ac:dyDescent="0.3">
      <c r="A360904" s="17"/>
    </row>
    <row r="361196" spans="1:1" ht="17.100000000000001" customHeight="1" x14ac:dyDescent="0.3">
      <c r="A361196" s="17"/>
    </row>
    <row r="361488" spans="1:1" ht="17.100000000000001" customHeight="1" x14ac:dyDescent="0.3">
      <c r="A361488" s="17"/>
    </row>
    <row r="361780" spans="1:1" ht="17.100000000000001" customHeight="1" x14ac:dyDescent="0.3">
      <c r="A361780" s="17"/>
    </row>
    <row r="362072" spans="1:1" ht="17.100000000000001" customHeight="1" x14ac:dyDescent="0.3">
      <c r="A362072" s="17"/>
    </row>
    <row r="362364" spans="1:1" ht="17.100000000000001" customHeight="1" x14ac:dyDescent="0.3">
      <c r="A362364" s="17"/>
    </row>
    <row r="362656" spans="1:1" ht="17.100000000000001" customHeight="1" x14ac:dyDescent="0.3">
      <c r="A362656" s="17"/>
    </row>
    <row r="362948" spans="1:1" ht="17.100000000000001" customHeight="1" x14ac:dyDescent="0.3">
      <c r="A362948" s="17"/>
    </row>
    <row r="363240" spans="1:1" ht="17.100000000000001" customHeight="1" x14ac:dyDescent="0.3">
      <c r="A363240" s="17"/>
    </row>
    <row r="363532" spans="1:1" ht="17.100000000000001" customHeight="1" x14ac:dyDescent="0.3">
      <c r="A363532" s="17"/>
    </row>
    <row r="363824" spans="1:1" ht="17.100000000000001" customHeight="1" x14ac:dyDescent="0.3">
      <c r="A363824" s="17"/>
    </row>
    <row r="364116" spans="1:1" ht="17.100000000000001" customHeight="1" x14ac:dyDescent="0.3">
      <c r="A364116" s="17"/>
    </row>
    <row r="364408" spans="1:1" ht="17.100000000000001" customHeight="1" x14ac:dyDescent="0.3">
      <c r="A364408" s="17"/>
    </row>
    <row r="364700" spans="1:1" ht="17.100000000000001" customHeight="1" x14ac:dyDescent="0.3">
      <c r="A364700" s="17"/>
    </row>
    <row r="364992" spans="1:1" ht="17.100000000000001" customHeight="1" x14ac:dyDescent="0.3">
      <c r="A364992" s="17"/>
    </row>
    <row r="365284" spans="1:1" ht="17.100000000000001" customHeight="1" x14ac:dyDescent="0.3">
      <c r="A365284" s="17"/>
    </row>
    <row r="365576" spans="1:1" ht="17.100000000000001" customHeight="1" x14ac:dyDescent="0.3">
      <c r="A365576" s="17"/>
    </row>
    <row r="365868" spans="1:1" ht="17.100000000000001" customHeight="1" x14ac:dyDescent="0.3">
      <c r="A365868" s="17"/>
    </row>
    <row r="366160" spans="1:1" ht="17.100000000000001" customHeight="1" x14ac:dyDescent="0.3">
      <c r="A366160" s="17"/>
    </row>
    <row r="366452" spans="1:1" ht="17.100000000000001" customHeight="1" x14ac:dyDescent="0.3">
      <c r="A366452" s="17"/>
    </row>
    <row r="366744" spans="1:1" ht="17.100000000000001" customHeight="1" x14ac:dyDescent="0.3">
      <c r="A366744" s="17"/>
    </row>
    <row r="367036" spans="1:1" ht="17.100000000000001" customHeight="1" x14ac:dyDescent="0.3">
      <c r="A367036" s="17"/>
    </row>
    <row r="367328" spans="1:1" ht="17.100000000000001" customHeight="1" x14ac:dyDescent="0.3">
      <c r="A367328" s="17"/>
    </row>
    <row r="367620" spans="1:1" ht="17.100000000000001" customHeight="1" x14ac:dyDescent="0.3">
      <c r="A367620" s="17"/>
    </row>
    <row r="367912" spans="1:1" ht="17.100000000000001" customHeight="1" x14ac:dyDescent="0.3">
      <c r="A367912" s="17"/>
    </row>
    <row r="368204" spans="1:1" ht="17.100000000000001" customHeight="1" x14ac:dyDescent="0.3">
      <c r="A368204" s="17"/>
    </row>
    <row r="368496" spans="1:1" ht="17.100000000000001" customHeight="1" x14ac:dyDescent="0.3">
      <c r="A368496" s="17"/>
    </row>
    <row r="368788" spans="1:1" ht="17.100000000000001" customHeight="1" x14ac:dyDescent="0.3">
      <c r="A368788" s="17"/>
    </row>
    <row r="369080" spans="1:1" ht="17.100000000000001" customHeight="1" x14ac:dyDescent="0.3">
      <c r="A369080" s="17"/>
    </row>
    <row r="369372" spans="1:1" ht="17.100000000000001" customHeight="1" x14ac:dyDescent="0.3">
      <c r="A369372" s="17"/>
    </row>
    <row r="369664" spans="1:1" ht="17.100000000000001" customHeight="1" x14ac:dyDescent="0.3">
      <c r="A369664" s="17"/>
    </row>
    <row r="369956" spans="1:1" ht="17.100000000000001" customHeight="1" x14ac:dyDescent="0.3">
      <c r="A369956" s="17"/>
    </row>
    <row r="370248" spans="1:1" ht="17.100000000000001" customHeight="1" x14ac:dyDescent="0.3">
      <c r="A370248" s="17"/>
    </row>
    <row r="370540" spans="1:1" ht="17.100000000000001" customHeight="1" x14ac:dyDescent="0.3">
      <c r="A370540" s="17"/>
    </row>
    <row r="370832" spans="1:1" ht="17.100000000000001" customHeight="1" x14ac:dyDescent="0.3">
      <c r="A370832" s="17"/>
    </row>
    <row r="371124" spans="1:1" ht="17.100000000000001" customHeight="1" x14ac:dyDescent="0.3">
      <c r="A371124" s="17"/>
    </row>
    <row r="371416" spans="1:1" ht="17.100000000000001" customHeight="1" x14ac:dyDescent="0.3">
      <c r="A371416" s="17"/>
    </row>
    <row r="371708" spans="1:1" ht="17.100000000000001" customHeight="1" x14ac:dyDescent="0.3">
      <c r="A371708" s="17"/>
    </row>
    <row r="372000" spans="1:1" ht="17.100000000000001" customHeight="1" x14ac:dyDescent="0.3">
      <c r="A372000" s="17"/>
    </row>
    <row r="372292" spans="1:1" ht="17.100000000000001" customHeight="1" x14ac:dyDescent="0.3">
      <c r="A372292" s="17"/>
    </row>
    <row r="372584" spans="1:1" ht="17.100000000000001" customHeight="1" x14ac:dyDescent="0.3">
      <c r="A372584" s="17"/>
    </row>
    <row r="372876" spans="1:1" ht="17.100000000000001" customHeight="1" x14ac:dyDescent="0.3">
      <c r="A372876" s="17"/>
    </row>
    <row r="373168" spans="1:1" ht="17.100000000000001" customHeight="1" x14ac:dyDescent="0.3">
      <c r="A373168" s="17"/>
    </row>
    <row r="373460" spans="1:1" ht="17.100000000000001" customHeight="1" x14ac:dyDescent="0.3">
      <c r="A373460" s="17"/>
    </row>
    <row r="373752" spans="1:1" ht="17.100000000000001" customHeight="1" x14ac:dyDescent="0.3">
      <c r="A373752" s="17"/>
    </row>
    <row r="374044" spans="1:1" ht="17.100000000000001" customHeight="1" x14ac:dyDescent="0.3">
      <c r="A374044" s="17"/>
    </row>
    <row r="374336" spans="1:1" ht="17.100000000000001" customHeight="1" x14ac:dyDescent="0.3">
      <c r="A374336" s="17"/>
    </row>
    <row r="374628" spans="1:1" ht="17.100000000000001" customHeight="1" x14ac:dyDescent="0.3">
      <c r="A374628" s="17"/>
    </row>
    <row r="374920" spans="1:1" ht="17.100000000000001" customHeight="1" x14ac:dyDescent="0.3">
      <c r="A374920" s="17"/>
    </row>
    <row r="375212" spans="1:1" ht="17.100000000000001" customHeight="1" x14ac:dyDescent="0.3">
      <c r="A375212" s="17"/>
    </row>
    <row r="375504" spans="1:1" ht="17.100000000000001" customHeight="1" x14ac:dyDescent="0.3">
      <c r="A375504" s="17"/>
    </row>
    <row r="375796" spans="1:1" ht="17.100000000000001" customHeight="1" x14ac:dyDescent="0.3">
      <c r="A375796" s="17"/>
    </row>
    <row r="376088" spans="1:1" ht="17.100000000000001" customHeight="1" x14ac:dyDescent="0.3">
      <c r="A376088" s="17"/>
    </row>
    <row r="376380" spans="1:1" ht="17.100000000000001" customHeight="1" x14ac:dyDescent="0.3">
      <c r="A376380" s="17"/>
    </row>
    <row r="376672" spans="1:1" ht="17.100000000000001" customHeight="1" x14ac:dyDescent="0.3">
      <c r="A376672" s="17"/>
    </row>
    <row r="376964" spans="1:1" ht="17.100000000000001" customHeight="1" x14ac:dyDescent="0.3">
      <c r="A376964" s="17"/>
    </row>
    <row r="377256" spans="1:1" ht="17.100000000000001" customHeight="1" x14ac:dyDescent="0.3">
      <c r="A377256" s="17"/>
    </row>
    <row r="377548" spans="1:1" ht="17.100000000000001" customHeight="1" x14ac:dyDescent="0.3">
      <c r="A377548" s="17"/>
    </row>
    <row r="377840" spans="1:1" ht="17.100000000000001" customHeight="1" x14ac:dyDescent="0.3">
      <c r="A377840" s="17"/>
    </row>
    <row r="378132" spans="1:1" ht="17.100000000000001" customHeight="1" x14ac:dyDescent="0.3">
      <c r="A378132" s="17"/>
    </row>
    <row r="378424" spans="1:1" ht="17.100000000000001" customHeight="1" x14ac:dyDescent="0.3">
      <c r="A378424" s="17"/>
    </row>
    <row r="378716" spans="1:1" ht="17.100000000000001" customHeight="1" x14ac:dyDescent="0.3">
      <c r="A378716" s="17"/>
    </row>
    <row r="379008" spans="1:1" ht="17.100000000000001" customHeight="1" x14ac:dyDescent="0.3">
      <c r="A379008" s="17"/>
    </row>
    <row r="379300" spans="1:1" ht="17.100000000000001" customHeight="1" x14ac:dyDescent="0.3">
      <c r="A379300" s="17"/>
    </row>
    <row r="379592" spans="1:1" ht="17.100000000000001" customHeight="1" x14ac:dyDescent="0.3">
      <c r="A379592" s="17"/>
    </row>
    <row r="379884" spans="1:1" ht="17.100000000000001" customHeight="1" x14ac:dyDescent="0.3">
      <c r="A379884" s="17"/>
    </row>
    <row r="380176" spans="1:1" ht="17.100000000000001" customHeight="1" x14ac:dyDescent="0.3">
      <c r="A380176" s="17"/>
    </row>
    <row r="380468" spans="1:1" ht="17.100000000000001" customHeight="1" x14ac:dyDescent="0.3">
      <c r="A380468" s="17"/>
    </row>
    <row r="380760" spans="1:1" ht="17.100000000000001" customHeight="1" x14ac:dyDescent="0.3">
      <c r="A380760" s="17"/>
    </row>
    <row r="381052" spans="1:1" ht="17.100000000000001" customHeight="1" x14ac:dyDescent="0.3">
      <c r="A381052" s="17"/>
    </row>
    <row r="381344" spans="1:1" ht="17.100000000000001" customHeight="1" x14ac:dyDescent="0.3">
      <c r="A381344" s="17"/>
    </row>
    <row r="381636" spans="1:1" ht="17.100000000000001" customHeight="1" x14ac:dyDescent="0.3">
      <c r="A381636" s="17"/>
    </row>
    <row r="381928" spans="1:1" ht="17.100000000000001" customHeight="1" x14ac:dyDescent="0.3">
      <c r="A381928" s="17"/>
    </row>
    <row r="382220" spans="1:1" ht="17.100000000000001" customHeight="1" x14ac:dyDescent="0.3">
      <c r="A382220" s="17"/>
    </row>
    <row r="382512" spans="1:1" ht="17.100000000000001" customHeight="1" x14ac:dyDescent="0.3">
      <c r="A382512" s="17"/>
    </row>
    <row r="382804" spans="1:1" ht="17.100000000000001" customHeight="1" x14ac:dyDescent="0.3">
      <c r="A382804" s="17"/>
    </row>
    <row r="383096" spans="1:1" ht="17.100000000000001" customHeight="1" x14ac:dyDescent="0.3">
      <c r="A383096" s="17"/>
    </row>
    <row r="383388" spans="1:1" ht="17.100000000000001" customHeight="1" x14ac:dyDescent="0.3">
      <c r="A383388" s="17"/>
    </row>
    <row r="383680" spans="1:1" ht="17.100000000000001" customHeight="1" x14ac:dyDescent="0.3">
      <c r="A383680" s="17"/>
    </row>
    <row r="383972" spans="1:1" ht="17.100000000000001" customHeight="1" x14ac:dyDescent="0.3">
      <c r="A383972" s="17"/>
    </row>
    <row r="384264" spans="1:1" ht="17.100000000000001" customHeight="1" x14ac:dyDescent="0.3">
      <c r="A384264" s="17"/>
    </row>
    <row r="384556" spans="1:1" ht="17.100000000000001" customHeight="1" x14ac:dyDescent="0.3">
      <c r="A384556" s="17"/>
    </row>
    <row r="384848" spans="1:1" ht="17.100000000000001" customHeight="1" x14ac:dyDescent="0.3">
      <c r="A384848" s="17"/>
    </row>
    <row r="385140" spans="1:1" ht="17.100000000000001" customHeight="1" x14ac:dyDescent="0.3">
      <c r="A385140" s="17"/>
    </row>
    <row r="385432" spans="1:1" ht="17.100000000000001" customHeight="1" x14ac:dyDescent="0.3">
      <c r="A385432" s="17"/>
    </row>
    <row r="385724" spans="1:1" ht="17.100000000000001" customHeight="1" x14ac:dyDescent="0.3">
      <c r="A385724" s="17"/>
    </row>
    <row r="386016" spans="1:1" ht="17.100000000000001" customHeight="1" x14ac:dyDescent="0.3">
      <c r="A386016" s="17"/>
    </row>
    <row r="386308" spans="1:1" ht="17.100000000000001" customHeight="1" x14ac:dyDescent="0.3">
      <c r="A386308" s="17"/>
    </row>
    <row r="386600" spans="1:1" ht="17.100000000000001" customHeight="1" x14ac:dyDescent="0.3">
      <c r="A386600" s="17"/>
    </row>
    <row r="386892" spans="1:1" ht="17.100000000000001" customHeight="1" x14ac:dyDescent="0.3">
      <c r="A386892" s="17"/>
    </row>
    <row r="387184" spans="1:1" ht="17.100000000000001" customHeight="1" x14ac:dyDescent="0.3">
      <c r="A387184" s="17"/>
    </row>
    <row r="387476" spans="1:1" ht="17.100000000000001" customHeight="1" x14ac:dyDescent="0.3">
      <c r="A387476" s="17"/>
    </row>
    <row r="387768" spans="1:1" ht="17.100000000000001" customHeight="1" x14ac:dyDescent="0.3">
      <c r="A387768" s="17"/>
    </row>
    <row r="388060" spans="1:1" ht="17.100000000000001" customHeight="1" x14ac:dyDescent="0.3">
      <c r="A388060" s="17"/>
    </row>
    <row r="388352" spans="1:1" ht="17.100000000000001" customHeight="1" x14ac:dyDescent="0.3">
      <c r="A388352" s="17"/>
    </row>
    <row r="388644" spans="1:1" ht="17.100000000000001" customHeight="1" x14ac:dyDescent="0.3">
      <c r="A388644" s="17"/>
    </row>
    <row r="388936" spans="1:1" ht="17.100000000000001" customHeight="1" x14ac:dyDescent="0.3">
      <c r="A388936" s="17"/>
    </row>
    <row r="389228" spans="1:1" ht="17.100000000000001" customHeight="1" x14ac:dyDescent="0.3">
      <c r="A389228" s="17"/>
    </row>
    <row r="389520" spans="1:1" ht="17.100000000000001" customHeight="1" x14ac:dyDescent="0.3">
      <c r="A389520" s="17"/>
    </row>
    <row r="389812" spans="1:1" ht="17.100000000000001" customHeight="1" x14ac:dyDescent="0.3">
      <c r="A389812" s="17"/>
    </row>
    <row r="390104" spans="1:1" ht="17.100000000000001" customHeight="1" x14ac:dyDescent="0.3">
      <c r="A390104" s="17"/>
    </row>
    <row r="390396" spans="1:1" ht="17.100000000000001" customHeight="1" x14ac:dyDescent="0.3">
      <c r="A390396" s="17"/>
    </row>
    <row r="390688" spans="1:1" ht="17.100000000000001" customHeight="1" x14ac:dyDescent="0.3">
      <c r="A390688" s="17"/>
    </row>
    <row r="390980" spans="1:1" ht="17.100000000000001" customHeight="1" x14ac:dyDescent="0.3">
      <c r="A390980" s="17"/>
    </row>
    <row r="391272" spans="1:1" ht="17.100000000000001" customHeight="1" x14ac:dyDescent="0.3">
      <c r="A391272" s="17"/>
    </row>
    <row r="391564" spans="1:1" ht="17.100000000000001" customHeight="1" x14ac:dyDescent="0.3">
      <c r="A391564" s="17"/>
    </row>
    <row r="391856" spans="1:1" ht="17.100000000000001" customHeight="1" x14ac:dyDescent="0.3">
      <c r="A391856" s="17"/>
    </row>
    <row r="392148" spans="1:1" ht="17.100000000000001" customHeight="1" x14ac:dyDescent="0.3">
      <c r="A392148" s="17"/>
    </row>
    <row r="392440" spans="1:1" ht="17.100000000000001" customHeight="1" x14ac:dyDescent="0.3">
      <c r="A392440" s="17"/>
    </row>
    <row r="392732" spans="1:1" ht="17.100000000000001" customHeight="1" x14ac:dyDescent="0.3">
      <c r="A392732" s="17"/>
    </row>
    <row r="393024" spans="1:1" ht="17.100000000000001" customHeight="1" x14ac:dyDescent="0.3">
      <c r="A393024" s="17"/>
    </row>
    <row r="393316" spans="1:1" ht="17.100000000000001" customHeight="1" x14ac:dyDescent="0.3">
      <c r="A393316" s="17"/>
    </row>
    <row r="393608" spans="1:1" ht="17.100000000000001" customHeight="1" x14ac:dyDescent="0.3">
      <c r="A393608" s="17"/>
    </row>
    <row r="393900" spans="1:1" ht="17.100000000000001" customHeight="1" x14ac:dyDescent="0.3">
      <c r="A393900" s="17"/>
    </row>
    <row r="394192" spans="1:1" ht="17.100000000000001" customHeight="1" x14ac:dyDescent="0.3">
      <c r="A394192" s="17"/>
    </row>
    <row r="394484" spans="1:1" ht="17.100000000000001" customHeight="1" x14ac:dyDescent="0.3">
      <c r="A394484" s="17"/>
    </row>
    <row r="394776" spans="1:1" ht="17.100000000000001" customHeight="1" x14ac:dyDescent="0.3">
      <c r="A394776" s="17"/>
    </row>
    <row r="395068" spans="1:1" ht="17.100000000000001" customHeight="1" x14ac:dyDescent="0.3">
      <c r="A395068" s="17"/>
    </row>
    <row r="395360" spans="1:1" ht="17.100000000000001" customHeight="1" x14ac:dyDescent="0.3">
      <c r="A395360" s="17"/>
    </row>
    <row r="395652" spans="1:1" ht="17.100000000000001" customHeight="1" x14ac:dyDescent="0.3">
      <c r="A395652" s="17"/>
    </row>
    <row r="395944" spans="1:1" ht="17.100000000000001" customHeight="1" x14ac:dyDescent="0.3">
      <c r="A395944" s="17"/>
    </row>
    <row r="396236" spans="1:1" ht="17.100000000000001" customHeight="1" x14ac:dyDescent="0.3">
      <c r="A396236" s="17"/>
    </row>
    <row r="396528" spans="1:1" ht="17.100000000000001" customHeight="1" x14ac:dyDescent="0.3">
      <c r="A396528" s="17"/>
    </row>
    <row r="396820" spans="1:1" ht="17.100000000000001" customHeight="1" x14ac:dyDescent="0.3">
      <c r="A396820" s="17"/>
    </row>
    <row r="397112" spans="1:1" ht="17.100000000000001" customHeight="1" x14ac:dyDescent="0.3">
      <c r="A397112" s="17"/>
    </row>
    <row r="397404" spans="1:1" ht="17.100000000000001" customHeight="1" x14ac:dyDescent="0.3">
      <c r="A397404" s="17"/>
    </row>
    <row r="397696" spans="1:1" ht="17.100000000000001" customHeight="1" x14ac:dyDescent="0.3">
      <c r="A397696" s="17"/>
    </row>
    <row r="397988" spans="1:1" ht="17.100000000000001" customHeight="1" x14ac:dyDescent="0.3">
      <c r="A397988" s="17"/>
    </row>
    <row r="398280" spans="1:1" ht="17.100000000000001" customHeight="1" x14ac:dyDescent="0.3">
      <c r="A398280" s="17"/>
    </row>
    <row r="398572" spans="1:1" ht="17.100000000000001" customHeight="1" x14ac:dyDescent="0.3">
      <c r="A398572" s="17"/>
    </row>
    <row r="398864" spans="1:1" ht="17.100000000000001" customHeight="1" x14ac:dyDescent="0.3">
      <c r="A398864" s="17"/>
    </row>
    <row r="399156" spans="1:1" ht="17.100000000000001" customHeight="1" x14ac:dyDescent="0.3">
      <c r="A399156" s="17"/>
    </row>
    <row r="399448" spans="1:1" ht="17.100000000000001" customHeight="1" x14ac:dyDescent="0.3">
      <c r="A399448" s="17"/>
    </row>
    <row r="399740" spans="1:1" ht="17.100000000000001" customHeight="1" x14ac:dyDescent="0.3">
      <c r="A399740" s="17"/>
    </row>
    <row r="400032" spans="1:1" ht="17.100000000000001" customHeight="1" x14ac:dyDescent="0.3">
      <c r="A400032" s="17"/>
    </row>
    <row r="400324" spans="1:1" ht="17.100000000000001" customHeight="1" x14ac:dyDescent="0.3">
      <c r="A400324" s="17"/>
    </row>
    <row r="400616" spans="1:1" ht="17.100000000000001" customHeight="1" x14ac:dyDescent="0.3">
      <c r="A400616" s="17"/>
    </row>
    <row r="400908" spans="1:1" ht="17.100000000000001" customHeight="1" x14ac:dyDescent="0.3">
      <c r="A400908" s="17"/>
    </row>
    <row r="401200" spans="1:1" ht="17.100000000000001" customHeight="1" x14ac:dyDescent="0.3">
      <c r="A401200" s="17"/>
    </row>
    <row r="401492" spans="1:1" ht="17.100000000000001" customHeight="1" x14ac:dyDescent="0.3">
      <c r="A401492" s="17"/>
    </row>
    <row r="401784" spans="1:1" ht="17.100000000000001" customHeight="1" x14ac:dyDescent="0.3">
      <c r="A401784" s="17"/>
    </row>
    <row r="402076" spans="1:1" ht="17.100000000000001" customHeight="1" x14ac:dyDescent="0.3">
      <c r="A402076" s="17"/>
    </row>
    <row r="402368" spans="1:1" ht="17.100000000000001" customHeight="1" x14ac:dyDescent="0.3">
      <c r="A402368" s="17"/>
    </row>
    <row r="402660" spans="1:1" ht="17.100000000000001" customHeight="1" x14ac:dyDescent="0.3">
      <c r="A402660" s="17"/>
    </row>
    <row r="402952" spans="1:1" ht="17.100000000000001" customHeight="1" x14ac:dyDescent="0.3">
      <c r="A402952" s="17"/>
    </row>
    <row r="403244" spans="1:1" ht="17.100000000000001" customHeight="1" x14ac:dyDescent="0.3">
      <c r="A403244" s="17"/>
    </row>
    <row r="403536" spans="1:1" ht="17.100000000000001" customHeight="1" x14ac:dyDescent="0.3">
      <c r="A403536" s="17"/>
    </row>
    <row r="403828" spans="1:1" ht="17.100000000000001" customHeight="1" x14ac:dyDescent="0.3">
      <c r="A403828" s="17"/>
    </row>
    <row r="404120" spans="1:1" ht="17.100000000000001" customHeight="1" x14ac:dyDescent="0.3">
      <c r="A404120" s="17"/>
    </row>
    <row r="404412" spans="1:1" ht="17.100000000000001" customHeight="1" x14ac:dyDescent="0.3">
      <c r="A404412" s="17"/>
    </row>
    <row r="404704" spans="1:1" ht="17.100000000000001" customHeight="1" x14ac:dyDescent="0.3">
      <c r="A404704" s="17"/>
    </row>
    <row r="404996" spans="1:1" ht="17.100000000000001" customHeight="1" x14ac:dyDescent="0.3">
      <c r="A404996" s="17"/>
    </row>
    <row r="405288" spans="1:1" ht="17.100000000000001" customHeight="1" x14ac:dyDescent="0.3">
      <c r="A405288" s="17"/>
    </row>
    <row r="405580" spans="1:1" ht="17.100000000000001" customHeight="1" x14ac:dyDescent="0.3">
      <c r="A405580" s="17"/>
    </row>
    <row r="405872" spans="1:1" ht="17.100000000000001" customHeight="1" x14ac:dyDescent="0.3">
      <c r="A405872" s="17"/>
    </row>
    <row r="406164" spans="1:1" ht="17.100000000000001" customHeight="1" x14ac:dyDescent="0.3">
      <c r="A406164" s="17"/>
    </row>
    <row r="406456" spans="1:1" ht="17.100000000000001" customHeight="1" x14ac:dyDescent="0.3">
      <c r="A406456" s="17"/>
    </row>
    <row r="406748" spans="1:1" ht="17.100000000000001" customHeight="1" x14ac:dyDescent="0.3">
      <c r="A406748" s="17"/>
    </row>
    <row r="407040" spans="1:1" ht="17.100000000000001" customHeight="1" x14ac:dyDescent="0.3">
      <c r="A407040" s="17"/>
    </row>
    <row r="407332" spans="1:1" ht="17.100000000000001" customHeight="1" x14ac:dyDescent="0.3">
      <c r="A407332" s="17"/>
    </row>
    <row r="407624" spans="1:1" ht="17.100000000000001" customHeight="1" x14ac:dyDescent="0.3">
      <c r="A407624" s="17"/>
    </row>
    <row r="407916" spans="1:1" ht="17.100000000000001" customHeight="1" x14ac:dyDescent="0.3">
      <c r="A407916" s="17"/>
    </row>
    <row r="408208" spans="1:1" ht="17.100000000000001" customHeight="1" x14ac:dyDescent="0.3">
      <c r="A408208" s="17"/>
    </row>
    <row r="408500" spans="1:1" ht="17.100000000000001" customHeight="1" x14ac:dyDescent="0.3">
      <c r="A408500" s="17"/>
    </row>
    <row r="408792" spans="1:1" ht="17.100000000000001" customHeight="1" x14ac:dyDescent="0.3">
      <c r="A408792" s="17"/>
    </row>
    <row r="409084" spans="1:1" ht="17.100000000000001" customHeight="1" x14ac:dyDescent="0.3">
      <c r="A409084" s="17"/>
    </row>
    <row r="409376" spans="1:1" ht="17.100000000000001" customHeight="1" x14ac:dyDescent="0.3">
      <c r="A409376" s="17"/>
    </row>
    <row r="409668" spans="1:1" ht="17.100000000000001" customHeight="1" x14ac:dyDescent="0.3">
      <c r="A409668" s="17"/>
    </row>
    <row r="409960" spans="1:1" ht="17.100000000000001" customHeight="1" x14ac:dyDescent="0.3">
      <c r="A409960" s="17"/>
    </row>
    <row r="410252" spans="1:1" ht="17.100000000000001" customHeight="1" x14ac:dyDescent="0.3">
      <c r="A410252" s="17"/>
    </row>
    <row r="410544" spans="1:1" ht="17.100000000000001" customHeight="1" x14ac:dyDescent="0.3">
      <c r="A410544" s="17"/>
    </row>
    <row r="410836" spans="1:1" ht="17.100000000000001" customHeight="1" x14ac:dyDescent="0.3">
      <c r="A410836" s="17"/>
    </row>
    <row r="411128" spans="1:1" ht="17.100000000000001" customHeight="1" x14ac:dyDescent="0.3">
      <c r="A411128" s="17"/>
    </row>
    <row r="411420" spans="1:1" ht="17.100000000000001" customHeight="1" x14ac:dyDescent="0.3">
      <c r="A411420" s="17"/>
    </row>
    <row r="411712" spans="1:1" ht="17.100000000000001" customHeight="1" x14ac:dyDescent="0.3">
      <c r="A411712" s="17"/>
    </row>
    <row r="412004" spans="1:1" ht="17.100000000000001" customHeight="1" x14ac:dyDescent="0.3">
      <c r="A412004" s="17"/>
    </row>
    <row r="412296" spans="1:1" ht="17.100000000000001" customHeight="1" x14ac:dyDescent="0.3">
      <c r="A412296" s="17"/>
    </row>
    <row r="412588" spans="1:1" ht="17.100000000000001" customHeight="1" x14ac:dyDescent="0.3">
      <c r="A412588" s="17"/>
    </row>
    <row r="412880" spans="1:1" ht="17.100000000000001" customHeight="1" x14ac:dyDescent="0.3">
      <c r="A412880" s="17"/>
    </row>
    <row r="413172" spans="1:1" ht="17.100000000000001" customHeight="1" x14ac:dyDescent="0.3">
      <c r="A413172" s="17"/>
    </row>
    <row r="413464" spans="1:1" ht="17.100000000000001" customHeight="1" x14ac:dyDescent="0.3">
      <c r="A413464" s="17"/>
    </row>
    <row r="413756" spans="1:1" ht="17.100000000000001" customHeight="1" x14ac:dyDescent="0.3">
      <c r="A413756" s="17"/>
    </row>
    <row r="414048" spans="1:1" ht="17.100000000000001" customHeight="1" x14ac:dyDescent="0.3">
      <c r="A414048" s="17"/>
    </row>
    <row r="414340" spans="1:1" ht="17.100000000000001" customHeight="1" x14ac:dyDescent="0.3">
      <c r="A414340" s="17"/>
    </row>
    <row r="414632" spans="1:1" ht="17.100000000000001" customHeight="1" x14ac:dyDescent="0.3">
      <c r="A414632" s="17"/>
    </row>
    <row r="414924" spans="1:1" ht="17.100000000000001" customHeight="1" x14ac:dyDescent="0.3">
      <c r="A414924" s="17"/>
    </row>
    <row r="415216" spans="1:1" ht="17.100000000000001" customHeight="1" x14ac:dyDescent="0.3">
      <c r="A415216" s="17"/>
    </row>
    <row r="415508" spans="1:1" ht="17.100000000000001" customHeight="1" x14ac:dyDescent="0.3">
      <c r="A415508" s="17"/>
    </row>
    <row r="415800" spans="1:1" ht="17.100000000000001" customHeight="1" x14ac:dyDescent="0.3">
      <c r="A415800" s="17"/>
    </row>
    <row r="416092" spans="1:1" ht="17.100000000000001" customHeight="1" x14ac:dyDescent="0.3">
      <c r="A416092" s="17"/>
    </row>
    <row r="416384" spans="1:1" ht="17.100000000000001" customHeight="1" x14ac:dyDescent="0.3">
      <c r="A416384" s="17"/>
    </row>
    <row r="416676" spans="1:1" ht="17.100000000000001" customHeight="1" x14ac:dyDescent="0.3">
      <c r="A416676" s="17"/>
    </row>
    <row r="416968" spans="1:1" ht="17.100000000000001" customHeight="1" x14ac:dyDescent="0.3">
      <c r="A416968" s="17"/>
    </row>
    <row r="417260" spans="1:1" ht="17.100000000000001" customHeight="1" x14ac:dyDescent="0.3">
      <c r="A417260" s="17"/>
    </row>
    <row r="417552" spans="1:1" ht="17.100000000000001" customHeight="1" x14ac:dyDescent="0.3">
      <c r="A417552" s="17"/>
    </row>
    <row r="417844" spans="1:1" ht="17.100000000000001" customHeight="1" x14ac:dyDescent="0.3">
      <c r="A417844" s="17"/>
    </row>
    <row r="418136" spans="1:1" ht="17.100000000000001" customHeight="1" x14ac:dyDescent="0.3">
      <c r="A418136" s="17"/>
    </row>
    <row r="418428" spans="1:1" ht="17.100000000000001" customHeight="1" x14ac:dyDescent="0.3">
      <c r="A418428" s="17"/>
    </row>
    <row r="418720" spans="1:1" ht="17.100000000000001" customHeight="1" x14ac:dyDescent="0.3">
      <c r="A418720" s="17"/>
    </row>
    <row r="419012" spans="1:1" ht="17.100000000000001" customHeight="1" x14ac:dyDescent="0.3">
      <c r="A419012" s="17"/>
    </row>
    <row r="419304" spans="1:1" ht="17.100000000000001" customHeight="1" x14ac:dyDescent="0.3">
      <c r="A419304" s="17"/>
    </row>
    <row r="419596" spans="1:1" ht="17.100000000000001" customHeight="1" x14ac:dyDescent="0.3">
      <c r="A419596" s="17"/>
    </row>
    <row r="419888" spans="1:1" ht="17.100000000000001" customHeight="1" x14ac:dyDescent="0.3">
      <c r="A419888" s="17"/>
    </row>
    <row r="420180" spans="1:1" ht="17.100000000000001" customHeight="1" x14ac:dyDescent="0.3">
      <c r="A420180" s="17"/>
    </row>
    <row r="420472" spans="1:1" ht="17.100000000000001" customHeight="1" x14ac:dyDescent="0.3">
      <c r="A420472" s="17"/>
    </row>
    <row r="420764" spans="1:1" ht="17.100000000000001" customHeight="1" x14ac:dyDescent="0.3">
      <c r="A420764" s="17"/>
    </row>
    <row r="421056" spans="1:1" ht="17.100000000000001" customHeight="1" x14ac:dyDescent="0.3">
      <c r="A421056" s="17"/>
    </row>
    <row r="421348" spans="1:1" ht="17.100000000000001" customHeight="1" x14ac:dyDescent="0.3">
      <c r="A421348" s="17"/>
    </row>
    <row r="421640" spans="1:1" ht="17.100000000000001" customHeight="1" x14ac:dyDescent="0.3">
      <c r="A421640" s="17"/>
    </row>
    <row r="421932" spans="1:1" ht="17.100000000000001" customHeight="1" x14ac:dyDescent="0.3">
      <c r="A421932" s="17"/>
    </row>
    <row r="422224" spans="1:1" ht="17.100000000000001" customHeight="1" x14ac:dyDescent="0.3">
      <c r="A422224" s="17"/>
    </row>
    <row r="422516" spans="1:1" ht="17.100000000000001" customHeight="1" x14ac:dyDescent="0.3">
      <c r="A422516" s="17"/>
    </row>
    <row r="422808" spans="1:1" ht="17.100000000000001" customHeight="1" x14ac:dyDescent="0.3">
      <c r="A422808" s="17"/>
    </row>
    <row r="423100" spans="1:1" ht="17.100000000000001" customHeight="1" x14ac:dyDescent="0.3">
      <c r="A423100" s="17"/>
    </row>
    <row r="423392" spans="1:1" ht="17.100000000000001" customHeight="1" x14ac:dyDescent="0.3">
      <c r="A423392" s="17"/>
    </row>
    <row r="423684" spans="1:1" ht="17.100000000000001" customHeight="1" x14ac:dyDescent="0.3">
      <c r="A423684" s="17"/>
    </row>
    <row r="423976" spans="1:1" ht="17.100000000000001" customHeight="1" x14ac:dyDescent="0.3">
      <c r="A423976" s="17"/>
    </row>
    <row r="424268" spans="1:1" ht="17.100000000000001" customHeight="1" x14ac:dyDescent="0.3">
      <c r="A424268" s="17"/>
    </row>
    <row r="424560" spans="1:1" ht="17.100000000000001" customHeight="1" x14ac:dyDescent="0.3">
      <c r="A424560" s="17"/>
    </row>
    <row r="424852" spans="1:1" ht="17.100000000000001" customHeight="1" x14ac:dyDescent="0.3">
      <c r="A424852" s="17"/>
    </row>
    <row r="425144" spans="1:1" ht="17.100000000000001" customHeight="1" x14ac:dyDescent="0.3">
      <c r="A425144" s="17"/>
    </row>
    <row r="425436" spans="1:1" ht="17.100000000000001" customHeight="1" x14ac:dyDescent="0.3">
      <c r="A425436" s="17"/>
    </row>
    <row r="425728" spans="1:1" ht="17.100000000000001" customHeight="1" x14ac:dyDescent="0.3">
      <c r="A425728" s="17"/>
    </row>
    <row r="426020" spans="1:1" ht="17.100000000000001" customHeight="1" x14ac:dyDescent="0.3">
      <c r="A426020" s="17"/>
    </row>
    <row r="426312" spans="1:1" ht="17.100000000000001" customHeight="1" x14ac:dyDescent="0.3">
      <c r="A426312" s="17"/>
    </row>
    <row r="426604" spans="1:1" ht="17.100000000000001" customHeight="1" x14ac:dyDescent="0.3">
      <c r="A426604" s="17"/>
    </row>
    <row r="426896" spans="1:1" ht="17.100000000000001" customHeight="1" x14ac:dyDescent="0.3">
      <c r="A426896" s="17"/>
    </row>
    <row r="427188" spans="1:1" ht="17.100000000000001" customHeight="1" x14ac:dyDescent="0.3">
      <c r="A427188" s="17"/>
    </row>
    <row r="427480" spans="1:1" ht="17.100000000000001" customHeight="1" x14ac:dyDescent="0.3">
      <c r="A427480" s="17"/>
    </row>
    <row r="427772" spans="1:1" ht="17.100000000000001" customHeight="1" x14ac:dyDescent="0.3">
      <c r="A427772" s="17"/>
    </row>
    <row r="428064" spans="1:1" ht="17.100000000000001" customHeight="1" x14ac:dyDescent="0.3">
      <c r="A428064" s="17"/>
    </row>
    <row r="428356" spans="1:1" ht="17.100000000000001" customHeight="1" x14ac:dyDescent="0.3">
      <c r="A428356" s="17"/>
    </row>
    <row r="428648" spans="1:1" ht="17.100000000000001" customHeight="1" x14ac:dyDescent="0.3">
      <c r="A428648" s="17"/>
    </row>
    <row r="428940" spans="1:1" ht="17.100000000000001" customHeight="1" x14ac:dyDescent="0.3">
      <c r="A428940" s="17"/>
    </row>
    <row r="429232" spans="1:1" ht="17.100000000000001" customHeight="1" x14ac:dyDescent="0.3">
      <c r="A429232" s="17"/>
    </row>
    <row r="429524" spans="1:1" ht="17.100000000000001" customHeight="1" x14ac:dyDescent="0.3">
      <c r="A429524" s="17"/>
    </row>
    <row r="429816" spans="1:1" ht="17.100000000000001" customHeight="1" x14ac:dyDescent="0.3">
      <c r="A429816" s="17"/>
    </row>
    <row r="430108" spans="1:1" ht="17.100000000000001" customHeight="1" x14ac:dyDescent="0.3">
      <c r="A430108" s="17"/>
    </row>
    <row r="430400" spans="1:1" ht="17.100000000000001" customHeight="1" x14ac:dyDescent="0.3">
      <c r="A430400" s="17"/>
    </row>
    <row r="430692" spans="1:1" ht="17.100000000000001" customHeight="1" x14ac:dyDescent="0.3">
      <c r="A430692" s="17"/>
    </row>
    <row r="430984" spans="1:1" ht="17.100000000000001" customHeight="1" x14ac:dyDescent="0.3">
      <c r="A430984" s="17"/>
    </row>
    <row r="431276" spans="1:1" ht="17.100000000000001" customHeight="1" x14ac:dyDescent="0.3">
      <c r="A431276" s="17"/>
    </row>
    <row r="431568" spans="1:1" ht="17.100000000000001" customHeight="1" x14ac:dyDescent="0.3">
      <c r="A431568" s="17"/>
    </row>
    <row r="431860" spans="1:1" ht="17.100000000000001" customHeight="1" x14ac:dyDescent="0.3">
      <c r="A431860" s="17"/>
    </row>
    <row r="432152" spans="1:1" ht="17.100000000000001" customHeight="1" x14ac:dyDescent="0.3">
      <c r="A432152" s="17"/>
    </row>
    <row r="432444" spans="1:1" ht="17.100000000000001" customHeight="1" x14ac:dyDescent="0.3">
      <c r="A432444" s="17"/>
    </row>
    <row r="432736" spans="1:1" ht="17.100000000000001" customHeight="1" x14ac:dyDescent="0.3">
      <c r="A432736" s="17"/>
    </row>
    <row r="433028" spans="1:1" ht="17.100000000000001" customHeight="1" x14ac:dyDescent="0.3">
      <c r="A433028" s="17"/>
    </row>
    <row r="433320" spans="1:1" ht="17.100000000000001" customHeight="1" x14ac:dyDescent="0.3">
      <c r="A433320" s="17"/>
    </row>
    <row r="433612" spans="1:1" ht="17.100000000000001" customHeight="1" x14ac:dyDescent="0.3">
      <c r="A433612" s="17"/>
    </row>
    <row r="433904" spans="1:1" ht="17.100000000000001" customHeight="1" x14ac:dyDescent="0.3">
      <c r="A433904" s="17"/>
    </row>
    <row r="434196" spans="1:1" ht="17.100000000000001" customHeight="1" x14ac:dyDescent="0.3">
      <c r="A434196" s="17"/>
    </row>
    <row r="434488" spans="1:1" ht="17.100000000000001" customHeight="1" x14ac:dyDescent="0.3">
      <c r="A434488" s="17"/>
    </row>
    <row r="434780" spans="1:1" ht="17.100000000000001" customHeight="1" x14ac:dyDescent="0.3">
      <c r="A434780" s="17"/>
    </row>
    <row r="435072" spans="1:1" ht="17.100000000000001" customHeight="1" x14ac:dyDescent="0.3">
      <c r="A435072" s="17"/>
    </row>
    <row r="435364" spans="1:1" ht="17.100000000000001" customHeight="1" x14ac:dyDescent="0.3">
      <c r="A435364" s="17"/>
    </row>
    <row r="435656" spans="1:1" ht="17.100000000000001" customHeight="1" x14ac:dyDescent="0.3">
      <c r="A435656" s="17"/>
    </row>
    <row r="435948" spans="1:1" ht="17.100000000000001" customHeight="1" x14ac:dyDescent="0.3">
      <c r="A435948" s="17"/>
    </row>
    <row r="436240" spans="1:1" ht="17.100000000000001" customHeight="1" x14ac:dyDescent="0.3">
      <c r="A436240" s="17"/>
    </row>
    <row r="436532" spans="1:1" ht="17.100000000000001" customHeight="1" x14ac:dyDescent="0.3">
      <c r="A436532" s="17"/>
    </row>
    <row r="436824" spans="1:1" ht="17.100000000000001" customHeight="1" x14ac:dyDescent="0.3">
      <c r="A436824" s="17"/>
    </row>
    <row r="437116" spans="1:1" ht="17.100000000000001" customHeight="1" x14ac:dyDescent="0.3">
      <c r="A437116" s="17"/>
    </row>
    <row r="437408" spans="1:1" ht="17.100000000000001" customHeight="1" x14ac:dyDescent="0.3">
      <c r="A437408" s="17"/>
    </row>
    <row r="437700" spans="1:1" ht="17.100000000000001" customHeight="1" x14ac:dyDescent="0.3">
      <c r="A437700" s="17"/>
    </row>
    <row r="437992" spans="1:1" ht="17.100000000000001" customHeight="1" x14ac:dyDescent="0.3">
      <c r="A437992" s="17"/>
    </row>
    <row r="438284" spans="1:1" ht="17.100000000000001" customHeight="1" x14ac:dyDescent="0.3">
      <c r="A438284" s="17"/>
    </row>
    <row r="438576" spans="1:1" ht="17.100000000000001" customHeight="1" x14ac:dyDescent="0.3">
      <c r="A438576" s="17"/>
    </row>
    <row r="438868" spans="1:1" ht="17.100000000000001" customHeight="1" x14ac:dyDescent="0.3">
      <c r="A438868" s="17"/>
    </row>
    <row r="439160" spans="1:1" ht="17.100000000000001" customHeight="1" x14ac:dyDescent="0.3">
      <c r="A439160" s="17"/>
    </row>
    <row r="439452" spans="1:1" ht="17.100000000000001" customHeight="1" x14ac:dyDescent="0.3">
      <c r="A439452" s="17"/>
    </row>
    <row r="439744" spans="1:1" ht="17.100000000000001" customHeight="1" x14ac:dyDescent="0.3">
      <c r="A439744" s="17"/>
    </row>
    <row r="440036" spans="1:1" ht="17.100000000000001" customHeight="1" x14ac:dyDescent="0.3">
      <c r="A440036" s="17"/>
    </row>
    <row r="440328" spans="1:1" ht="17.100000000000001" customHeight="1" x14ac:dyDescent="0.3">
      <c r="A440328" s="17"/>
    </row>
    <row r="440620" spans="1:1" ht="17.100000000000001" customHeight="1" x14ac:dyDescent="0.3">
      <c r="A440620" s="17"/>
    </row>
    <row r="440912" spans="1:1" ht="17.100000000000001" customHeight="1" x14ac:dyDescent="0.3">
      <c r="A440912" s="17"/>
    </row>
    <row r="441204" spans="1:1" ht="17.100000000000001" customHeight="1" x14ac:dyDescent="0.3">
      <c r="A441204" s="17"/>
    </row>
    <row r="441496" spans="1:1" ht="17.100000000000001" customHeight="1" x14ac:dyDescent="0.3">
      <c r="A441496" s="17"/>
    </row>
    <row r="441788" spans="1:1" ht="17.100000000000001" customHeight="1" x14ac:dyDescent="0.3">
      <c r="A441788" s="17"/>
    </row>
    <row r="442080" spans="1:1" ht="17.100000000000001" customHeight="1" x14ac:dyDescent="0.3">
      <c r="A442080" s="17"/>
    </row>
    <row r="442372" spans="1:1" ht="17.100000000000001" customHeight="1" x14ac:dyDescent="0.3">
      <c r="A442372" s="17"/>
    </row>
    <row r="442664" spans="1:1" ht="17.100000000000001" customHeight="1" x14ac:dyDescent="0.3">
      <c r="A442664" s="17"/>
    </row>
    <row r="442956" spans="1:1" ht="17.100000000000001" customHeight="1" x14ac:dyDescent="0.3">
      <c r="A442956" s="17"/>
    </row>
    <row r="443248" spans="1:1" ht="17.100000000000001" customHeight="1" x14ac:dyDescent="0.3">
      <c r="A443248" s="17"/>
    </row>
    <row r="443540" spans="1:1" ht="17.100000000000001" customHeight="1" x14ac:dyDescent="0.3">
      <c r="A443540" s="17"/>
    </row>
    <row r="443832" spans="1:1" ht="17.100000000000001" customHeight="1" x14ac:dyDescent="0.3">
      <c r="A443832" s="17"/>
    </row>
    <row r="444124" spans="1:1" ht="17.100000000000001" customHeight="1" x14ac:dyDescent="0.3">
      <c r="A444124" s="17"/>
    </row>
    <row r="444416" spans="1:1" ht="17.100000000000001" customHeight="1" x14ac:dyDescent="0.3">
      <c r="A444416" s="17"/>
    </row>
    <row r="444708" spans="1:1" ht="17.100000000000001" customHeight="1" x14ac:dyDescent="0.3">
      <c r="A444708" s="17"/>
    </row>
    <row r="445000" spans="1:1" ht="17.100000000000001" customHeight="1" x14ac:dyDescent="0.3">
      <c r="A445000" s="17"/>
    </row>
    <row r="445292" spans="1:1" ht="17.100000000000001" customHeight="1" x14ac:dyDescent="0.3">
      <c r="A445292" s="17"/>
    </row>
    <row r="445584" spans="1:1" ht="17.100000000000001" customHeight="1" x14ac:dyDescent="0.3">
      <c r="A445584" s="17"/>
    </row>
    <row r="445876" spans="1:1" ht="17.100000000000001" customHeight="1" x14ac:dyDescent="0.3">
      <c r="A445876" s="17"/>
    </row>
    <row r="446168" spans="1:1" ht="17.100000000000001" customHeight="1" x14ac:dyDescent="0.3">
      <c r="A446168" s="17"/>
    </row>
    <row r="446460" spans="1:1" ht="17.100000000000001" customHeight="1" x14ac:dyDescent="0.3">
      <c r="A446460" s="17"/>
    </row>
    <row r="446752" spans="1:1" ht="17.100000000000001" customHeight="1" x14ac:dyDescent="0.3">
      <c r="A446752" s="17"/>
    </row>
    <row r="447044" spans="1:1" ht="17.100000000000001" customHeight="1" x14ac:dyDescent="0.3">
      <c r="A447044" s="17"/>
    </row>
    <row r="447336" spans="1:1" ht="17.100000000000001" customHeight="1" x14ac:dyDescent="0.3">
      <c r="A447336" s="17"/>
    </row>
    <row r="447628" spans="1:1" ht="17.100000000000001" customHeight="1" x14ac:dyDescent="0.3">
      <c r="A447628" s="17"/>
    </row>
    <row r="447920" spans="1:1" ht="17.100000000000001" customHeight="1" x14ac:dyDescent="0.3">
      <c r="A447920" s="17"/>
    </row>
    <row r="448212" spans="1:1" ht="17.100000000000001" customHeight="1" x14ac:dyDescent="0.3">
      <c r="A448212" s="17"/>
    </row>
    <row r="448504" spans="1:1" ht="17.100000000000001" customHeight="1" x14ac:dyDescent="0.3">
      <c r="A448504" s="17"/>
    </row>
    <row r="448796" spans="1:1" ht="17.100000000000001" customHeight="1" x14ac:dyDescent="0.3">
      <c r="A448796" s="17"/>
    </row>
    <row r="449088" spans="1:1" ht="17.100000000000001" customHeight="1" x14ac:dyDescent="0.3">
      <c r="A449088" s="17"/>
    </row>
    <row r="449380" spans="1:1" ht="17.100000000000001" customHeight="1" x14ac:dyDescent="0.3">
      <c r="A449380" s="17"/>
    </row>
    <row r="449672" spans="1:1" ht="17.100000000000001" customHeight="1" x14ac:dyDescent="0.3">
      <c r="A449672" s="17"/>
    </row>
    <row r="449964" spans="1:1" ht="17.100000000000001" customHeight="1" x14ac:dyDescent="0.3">
      <c r="A449964" s="17"/>
    </row>
    <row r="450256" spans="1:1" ht="17.100000000000001" customHeight="1" x14ac:dyDescent="0.3">
      <c r="A450256" s="17"/>
    </row>
    <row r="450548" spans="1:1" ht="17.100000000000001" customHeight="1" x14ac:dyDescent="0.3">
      <c r="A450548" s="17"/>
    </row>
    <row r="450840" spans="1:1" ht="17.100000000000001" customHeight="1" x14ac:dyDescent="0.3">
      <c r="A450840" s="17"/>
    </row>
    <row r="451132" spans="1:1" ht="17.100000000000001" customHeight="1" x14ac:dyDescent="0.3">
      <c r="A451132" s="17"/>
    </row>
    <row r="451424" spans="1:1" ht="17.100000000000001" customHeight="1" x14ac:dyDescent="0.3">
      <c r="A451424" s="17"/>
    </row>
    <row r="451716" spans="1:1" ht="17.100000000000001" customHeight="1" x14ac:dyDescent="0.3">
      <c r="A451716" s="17"/>
    </row>
    <row r="452008" spans="1:1" ht="17.100000000000001" customHeight="1" x14ac:dyDescent="0.3">
      <c r="A452008" s="17"/>
    </row>
    <row r="452300" spans="1:1" ht="17.100000000000001" customHeight="1" x14ac:dyDescent="0.3">
      <c r="A452300" s="17"/>
    </row>
    <row r="452592" spans="1:1" ht="17.100000000000001" customHeight="1" x14ac:dyDescent="0.3">
      <c r="A452592" s="17"/>
    </row>
    <row r="452884" spans="1:1" ht="17.100000000000001" customHeight="1" x14ac:dyDescent="0.3">
      <c r="A452884" s="17"/>
    </row>
    <row r="453176" spans="1:1" ht="17.100000000000001" customHeight="1" x14ac:dyDescent="0.3">
      <c r="A453176" s="17"/>
    </row>
    <row r="453468" spans="1:1" ht="17.100000000000001" customHeight="1" x14ac:dyDescent="0.3">
      <c r="A453468" s="17"/>
    </row>
    <row r="453760" spans="1:1" ht="17.100000000000001" customHeight="1" x14ac:dyDescent="0.3">
      <c r="A453760" s="17"/>
    </row>
    <row r="454052" spans="1:1" ht="17.100000000000001" customHeight="1" x14ac:dyDescent="0.3">
      <c r="A454052" s="17"/>
    </row>
    <row r="454344" spans="1:1" ht="17.100000000000001" customHeight="1" x14ac:dyDescent="0.3">
      <c r="A454344" s="17"/>
    </row>
    <row r="454636" spans="1:1" ht="17.100000000000001" customHeight="1" x14ac:dyDescent="0.3">
      <c r="A454636" s="17"/>
    </row>
    <row r="454928" spans="1:1" ht="17.100000000000001" customHeight="1" x14ac:dyDescent="0.3">
      <c r="A454928" s="17"/>
    </row>
    <row r="455220" spans="1:1" ht="17.100000000000001" customHeight="1" x14ac:dyDescent="0.3">
      <c r="A455220" s="17"/>
    </row>
    <row r="455512" spans="1:1" ht="17.100000000000001" customHeight="1" x14ac:dyDescent="0.3">
      <c r="A455512" s="17"/>
    </row>
    <row r="455804" spans="1:1" ht="17.100000000000001" customHeight="1" x14ac:dyDescent="0.3">
      <c r="A455804" s="17"/>
    </row>
    <row r="456096" spans="1:1" ht="17.100000000000001" customHeight="1" x14ac:dyDescent="0.3">
      <c r="A456096" s="17"/>
    </row>
    <row r="456388" spans="1:1" ht="17.100000000000001" customHeight="1" x14ac:dyDescent="0.3">
      <c r="A456388" s="17"/>
    </row>
    <row r="456680" spans="1:1" ht="17.100000000000001" customHeight="1" x14ac:dyDescent="0.3">
      <c r="A456680" s="17"/>
    </row>
    <row r="456972" spans="1:1" ht="17.100000000000001" customHeight="1" x14ac:dyDescent="0.3">
      <c r="A456972" s="17"/>
    </row>
    <row r="457264" spans="1:1" ht="17.100000000000001" customHeight="1" x14ac:dyDescent="0.3">
      <c r="A457264" s="17"/>
    </row>
    <row r="457556" spans="1:1" ht="17.100000000000001" customHeight="1" x14ac:dyDescent="0.3">
      <c r="A457556" s="17"/>
    </row>
    <row r="457848" spans="1:1" ht="17.100000000000001" customHeight="1" x14ac:dyDescent="0.3">
      <c r="A457848" s="17"/>
    </row>
    <row r="458140" spans="1:1" ht="17.100000000000001" customHeight="1" x14ac:dyDescent="0.3">
      <c r="A458140" s="17"/>
    </row>
    <row r="458432" spans="1:1" ht="17.100000000000001" customHeight="1" x14ac:dyDescent="0.3">
      <c r="A458432" s="17"/>
    </row>
    <row r="458724" spans="1:1" ht="17.100000000000001" customHeight="1" x14ac:dyDescent="0.3">
      <c r="A458724" s="17"/>
    </row>
    <row r="459016" spans="1:1" ht="17.100000000000001" customHeight="1" x14ac:dyDescent="0.3">
      <c r="A459016" s="17"/>
    </row>
    <row r="459308" spans="1:1" ht="17.100000000000001" customHeight="1" x14ac:dyDescent="0.3">
      <c r="A459308" s="17"/>
    </row>
    <row r="459600" spans="1:1" ht="17.100000000000001" customHeight="1" x14ac:dyDescent="0.3">
      <c r="A459600" s="17"/>
    </row>
    <row r="459892" spans="1:1" ht="17.100000000000001" customHeight="1" x14ac:dyDescent="0.3">
      <c r="A459892" s="17"/>
    </row>
    <row r="460184" spans="1:1" ht="17.100000000000001" customHeight="1" x14ac:dyDescent="0.3">
      <c r="A460184" s="17"/>
    </row>
    <row r="460476" spans="1:1" ht="17.100000000000001" customHeight="1" x14ac:dyDescent="0.3">
      <c r="A460476" s="17"/>
    </row>
    <row r="460768" spans="1:1" ht="17.100000000000001" customHeight="1" x14ac:dyDescent="0.3">
      <c r="A460768" s="17"/>
    </row>
    <row r="461060" spans="1:1" ht="17.100000000000001" customHeight="1" x14ac:dyDescent="0.3">
      <c r="A461060" s="17"/>
    </row>
    <row r="461352" spans="1:1" ht="17.100000000000001" customHeight="1" x14ac:dyDescent="0.3">
      <c r="A461352" s="17"/>
    </row>
    <row r="461644" spans="1:1" ht="17.100000000000001" customHeight="1" x14ac:dyDescent="0.3">
      <c r="A461644" s="17"/>
    </row>
    <row r="461936" spans="1:1" ht="17.100000000000001" customHeight="1" x14ac:dyDescent="0.3">
      <c r="A461936" s="17"/>
    </row>
    <row r="462228" spans="1:1" ht="17.100000000000001" customHeight="1" x14ac:dyDescent="0.3">
      <c r="A462228" s="17"/>
    </row>
    <row r="462520" spans="1:1" ht="17.100000000000001" customHeight="1" x14ac:dyDescent="0.3">
      <c r="A462520" s="17"/>
    </row>
    <row r="462812" spans="1:1" ht="17.100000000000001" customHeight="1" x14ac:dyDescent="0.3">
      <c r="A462812" s="17"/>
    </row>
    <row r="463104" spans="1:1" ht="17.100000000000001" customHeight="1" x14ac:dyDescent="0.3">
      <c r="A463104" s="17"/>
    </row>
    <row r="463396" spans="1:1" ht="17.100000000000001" customHeight="1" x14ac:dyDescent="0.3">
      <c r="A463396" s="17"/>
    </row>
    <row r="463688" spans="1:1" ht="17.100000000000001" customHeight="1" x14ac:dyDescent="0.3">
      <c r="A463688" s="17"/>
    </row>
    <row r="463980" spans="1:1" ht="17.100000000000001" customHeight="1" x14ac:dyDescent="0.3">
      <c r="A463980" s="17"/>
    </row>
    <row r="464272" spans="1:1" ht="17.100000000000001" customHeight="1" x14ac:dyDescent="0.3">
      <c r="A464272" s="17"/>
    </row>
    <row r="464564" spans="1:1" ht="17.100000000000001" customHeight="1" x14ac:dyDescent="0.3">
      <c r="A464564" s="17"/>
    </row>
    <row r="464856" spans="1:1" ht="17.100000000000001" customHeight="1" x14ac:dyDescent="0.3">
      <c r="A464856" s="17"/>
    </row>
    <row r="465148" spans="1:1" ht="17.100000000000001" customHeight="1" x14ac:dyDescent="0.3">
      <c r="A465148" s="17"/>
    </row>
    <row r="465440" spans="1:1" ht="17.100000000000001" customHeight="1" x14ac:dyDescent="0.3">
      <c r="A465440" s="17"/>
    </row>
    <row r="465732" spans="1:1" ht="17.100000000000001" customHeight="1" x14ac:dyDescent="0.3">
      <c r="A465732" s="17"/>
    </row>
    <row r="466024" spans="1:1" ht="17.100000000000001" customHeight="1" x14ac:dyDescent="0.3">
      <c r="A466024" s="17"/>
    </row>
    <row r="466316" spans="1:1" ht="17.100000000000001" customHeight="1" x14ac:dyDescent="0.3">
      <c r="A466316" s="17"/>
    </row>
    <row r="466608" spans="1:1" ht="17.100000000000001" customHeight="1" x14ac:dyDescent="0.3">
      <c r="A466608" s="17"/>
    </row>
    <row r="466900" spans="1:1" ht="17.100000000000001" customHeight="1" x14ac:dyDescent="0.3">
      <c r="A466900" s="17"/>
    </row>
    <row r="467192" spans="1:1" ht="17.100000000000001" customHeight="1" x14ac:dyDescent="0.3">
      <c r="A467192" s="17"/>
    </row>
    <row r="467484" spans="1:1" ht="17.100000000000001" customHeight="1" x14ac:dyDescent="0.3">
      <c r="A467484" s="17"/>
    </row>
    <row r="467776" spans="1:1" ht="17.100000000000001" customHeight="1" x14ac:dyDescent="0.3">
      <c r="A467776" s="17"/>
    </row>
    <row r="468068" spans="1:1" ht="17.100000000000001" customHeight="1" x14ac:dyDescent="0.3">
      <c r="A468068" s="17"/>
    </row>
    <row r="468360" spans="1:1" ht="17.100000000000001" customHeight="1" x14ac:dyDescent="0.3">
      <c r="A468360" s="17"/>
    </row>
    <row r="468652" spans="1:1" ht="17.100000000000001" customHeight="1" x14ac:dyDescent="0.3">
      <c r="A468652" s="17"/>
    </row>
    <row r="468944" spans="1:1" ht="17.100000000000001" customHeight="1" x14ac:dyDescent="0.3">
      <c r="A468944" s="17"/>
    </row>
    <row r="469236" spans="1:1" ht="17.100000000000001" customHeight="1" x14ac:dyDescent="0.3">
      <c r="A469236" s="17"/>
    </row>
    <row r="469528" spans="1:1" ht="17.100000000000001" customHeight="1" x14ac:dyDescent="0.3">
      <c r="A469528" s="17"/>
    </row>
    <row r="469820" spans="1:1" ht="17.100000000000001" customHeight="1" x14ac:dyDescent="0.3">
      <c r="A469820" s="17"/>
    </row>
    <row r="470112" spans="1:1" ht="17.100000000000001" customHeight="1" x14ac:dyDescent="0.3">
      <c r="A470112" s="17"/>
    </row>
    <row r="470404" spans="1:1" ht="17.100000000000001" customHeight="1" x14ac:dyDescent="0.3">
      <c r="A470404" s="17"/>
    </row>
    <row r="470696" spans="1:1" ht="17.100000000000001" customHeight="1" x14ac:dyDescent="0.3">
      <c r="A470696" s="17"/>
    </row>
    <row r="470988" spans="1:1" ht="17.100000000000001" customHeight="1" x14ac:dyDescent="0.3">
      <c r="A470988" s="17"/>
    </row>
    <row r="471280" spans="1:1" ht="17.100000000000001" customHeight="1" x14ac:dyDescent="0.3">
      <c r="A471280" s="17"/>
    </row>
    <row r="471572" spans="1:1" ht="17.100000000000001" customHeight="1" x14ac:dyDescent="0.3">
      <c r="A471572" s="17"/>
    </row>
    <row r="471864" spans="1:1" ht="17.100000000000001" customHeight="1" x14ac:dyDescent="0.3">
      <c r="A471864" s="17"/>
    </row>
    <row r="472156" spans="1:1" ht="17.100000000000001" customHeight="1" x14ac:dyDescent="0.3">
      <c r="A472156" s="17"/>
    </row>
    <row r="472448" spans="1:1" ht="17.100000000000001" customHeight="1" x14ac:dyDescent="0.3">
      <c r="A472448" s="17"/>
    </row>
    <row r="472740" spans="1:1" ht="17.100000000000001" customHeight="1" x14ac:dyDescent="0.3">
      <c r="A472740" s="17"/>
    </row>
    <row r="473032" spans="1:1" ht="17.100000000000001" customHeight="1" x14ac:dyDescent="0.3">
      <c r="A473032" s="17"/>
    </row>
    <row r="473324" spans="1:1" ht="17.100000000000001" customHeight="1" x14ac:dyDescent="0.3">
      <c r="A473324" s="17"/>
    </row>
    <row r="473616" spans="1:1" ht="17.100000000000001" customHeight="1" x14ac:dyDescent="0.3">
      <c r="A473616" s="17"/>
    </row>
    <row r="473908" spans="1:1" ht="17.100000000000001" customHeight="1" x14ac:dyDescent="0.3">
      <c r="A473908" s="17"/>
    </row>
    <row r="474200" spans="1:1" ht="17.100000000000001" customHeight="1" x14ac:dyDescent="0.3">
      <c r="A474200" s="17"/>
    </row>
    <row r="474492" spans="1:1" ht="17.100000000000001" customHeight="1" x14ac:dyDescent="0.3">
      <c r="A474492" s="17"/>
    </row>
    <row r="474784" spans="1:1" ht="17.100000000000001" customHeight="1" x14ac:dyDescent="0.3">
      <c r="A474784" s="17"/>
    </row>
    <row r="475076" spans="1:1" ht="17.100000000000001" customHeight="1" x14ac:dyDescent="0.3">
      <c r="A475076" s="17"/>
    </row>
    <row r="475368" spans="1:1" ht="17.100000000000001" customHeight="1" x14ac:dyDescent="0.3">
      <c r="A475368" s="17"/>
    </row>
    <row r="475660" spans="1:1" ht="17.100000000000001" customHeight="1" x14ac:dyDescent="0.3">
      <c r="A475660" s="17"/>
    </row>
    <row r="475952" spans="1:1" ht="17.100000000000001" customHeight="1" x14ac:dyDescent="0.3">
      <c r="A475952" s="17"/>
    </row>
    <row r="476244" spans="1:1" ht="17.100000000000001" customHeight="1" x14ac:dyDescent="0.3">
      <c r="A476244" s="17"/>
    </row>
    <row r="476536" spans="1:1" ht="17.100000000000001" customHeight="1" x14ac:dyDescent="0.3">
      <c r="A476536" s="17"/>
    </row>
    <row r="476828" spans="1:1" ht="17.100000000000001" customHeight="1" x14ac:dyDescent="0.3">
      <c r="A476828" s="17"/>
    </row>
    <row r="477120" spans="1:1" ht="17.100000000000001" customHeight="1" x14ac:dyDescent="0.3">
      <c r="A477120" s="17"/>
    </row>
    <row r="477412" spans="1:1" ht="17.100000000000001" customHeight="1" x14ac:dyDescent="0.3">
      <c r="A477412" s="17"/>
    </row>
    <row r="477704" spans="1:1" ht="17.100000000000001" customHeight="1" x14ac:dyDescent="0.3">
      <c r="A477704" s="17"/>
    </row>
    <row r="477996" spans="1:1" ht="17.100000000000001" customHeight="1" x14ac:dyDescent="0.3">
      <c r="A477996" s="17"/>
    </row>
    <row r="478288" spans="1:1" ht="17.100000000000001" customHeight="1" x14ac:dyDescent="0.3">
      <c r="A478288" s="17"/>
    </row>
    <row r="478580" spans="1:1" ht="17.100000000000001" customHeight="1" x14ac:dyDescent="0.3">
      <c r="A478580" s="17"/>
    </row>
    <row r="478872" spans="1:1" ht="17.100000000000001" customHeight="1" x14ac:dyDescent="0.3">
      <c r="A478872" s="17"/>
    </row>
    <row r="479164" spans="1:1" ht="17.100000000000001" customHeight="1" x14ac:dyDescent="0.3">
      <c r="A479164" s="17"/>
    </row>
    <row r="479456" spans="1:1" ht="17.100000000000001" customHeight="1" x14ac:dyDescent="0.3">
      <c r="A479456" s="17"/>
    </row>
    <row r="479748" spans="1:1" ht="17.100000000000001" customHeight="1" x14ac:dyDescent="0.3">
      <c r="A479748" s="17"/>
    </row>
    <row r="480040" spans="1:1" ht="17.100000000000001" customHeight="1" x14ac:dyDescent="0.3">
      <c r="A480040" s="17"/>
    </row>
    <row r="480332" spans="1:1" ht="17.100000000000001" customHeight="1" x14ac:dyDescent="0.3">
      <c r="A480332" s="17"/>
    </row>
    <row r="480624" spans="1:1" ht="17.100000000000001" customHeight="1" x14ac:dyDescent="0.3">
      <c r="A480624" s="17"/>
    </row>
    <row r="480916" spans="1:1" ht="17.100000000000001" customHeight="1" x14ac:dyDescent="0.3">
      <c r="A480916" s="17"/>
    </row>
    <row r="481208" spans="1:1" ht="17.100000000000001" customHeight="1" x14ac:dyDescent="0.3">
      <c r="A481208" s="17"/>
    </row>
    <row r="481500" spans="1:1" ht="17.100000000000001" customHeight="1" x14ac:dyDescent="0.3">
      <c r="A481500" s="17"/>
    </row>
    <row r="481792" spans="1:1" ht="17.100000000000001" customHeight="1" x14ac:dyDescent="0.3">
      <c r="A481792" s="17"/>
    </row>
    <row r="482084" spans="1:1" ht="17.100000000000001" customHeight="1" x14ac:dyDescent="0.3">
      <c r="A482084" s="17"/>
    </row>
    <row r="482376" spans="1:1" ht="17.100000000000001" customHeight="1" x14ac:dyDescent="0.3">
      <c r="A482376" s="17"/>
    </row>
    <row r="482668" spans="1:1" ht="17.100000000000001" customHeight="1" x14ac:dyDescent="0.3">
      <c r="A482668" s="17"/>
    </row>
    <row r="482960" spans="1:1" ht="17.100000000000001" customHeight="1" x14ac:dyDescent="0.3">
      <c r="A482960" s="17"/>
    </row>
    <row r="483252" spans="1:1" ht="17.100000000000001" customHeight="1" x14ac:dyDescent="0.3">
      <c r="A483252" s="17"/>
    </row>
    <row r="483544" spans="1:1" ht="17.100000000000001" customHeight="1" x14ac:dyDescent="0.3">
      <c r="A483544" s="17"/>
    </row>
    <row r="483836" spans="1:1" ht="17.100000000000001" customHeight="1" x14ac:dyDescent="0.3">
      <c r="A483836" s="17"/>
    </row>
    <row r="484128" spans="1:1" ht="17.100000000000001" customHeight="1" x14ac:dyDescent="0.3">
      <c r="A484128" s="17"/>
    </row>
    <row r="484420" spans="1:1" ht="17.100000000000001" customHeight="1" x14ac:dyDescent="0.3">
      <c r="A484420" s="17"/>
    </row>
    <row r="484712" spans="1:1" ht="17.100000000000001" customHeight="1" x14ac:dyDescent="0.3">
      <c r="A484712" s="17"/>
    </row>
    <row r="485004" spans="1:1" ht="17.100000000000001" customHeight="1" x14ac:dyDescent="0.3">
      <c r="A485004" s="17"/>
    </row>
    <row r="485296" spans="1:1" ht="17.100000000000001" customHeight="1" x14ac:dyDescent="0.3">
      <c r="A485296" s="17"/>
    </row>
    <row r="485588" spans="1:1" ht="17.100000000000001" customHeight="1" x14ac:dyDescent="0.3">
      <c r="A485588" s="17"/>
    </row>
    <row r="485880" spans="1:1" ht="17.100000000000001" customHeight="1" x14ac:dyDescent="0.3">
      <c r="A485880" s="17"/>
    </row>
    <row r="486172" spans="1:1" ht="17.100000000000001" customHeight="1" x14ac:dyDescent="0.3">
      <c r="A486172" s="17"/>
    </row>
    <row r="486464" spans="1:1" ht="17.100000000000001" customHeight="1" x14ac:dyDescent="0.3">
      <c r="A486464" s="17"/>
    </row>
    <row r="486756" spans="1:1" ht="17.100000000000001" customHeight="1" x14ac:dyDescent="0.3">
      <c r="A486756" s="17"/>
    </row>
    <row r="487048" spans="1:1" ht="17.100000000000001" customHeight="1" x14ac:dyDescent="0.3">
      <c r="A487048" s="17"/>
    </row>
    <row r="487340" spans="1:1" ht="17.100000000000001" customHeight="1" x14ac:dyDescent="0.3">
      <c r="A487340" s="17"/>
    </row>
    <row r="487632" spans="1:1" ht="17.100000000000001" customHeight="1" x14ac:dyDescent="0.3">
      <c r="A487632" s="17"/>
    </row>
    <row r="487924" spans="1:1" ht="17.100000000000001" customHeight="1" x14ac:dyDescent="0.3">
      <c r="A487924" s="17"/>
    </row>
    <row r="488216" spans="1:1" ht="17.100000000000001" customHeight="1" x14ac:dyDescent="0.3">
      <c r="A488216" s="17"/>
    </row>
    <row r="488508" spans="1:1" ht="17.100000000000001" customHeight="1" x14ac:dyDescent="0.3">
      <c r="A488508" s="17"/>
    </row>
    <row r="488800" spans="1:1" ht="17.100000000000001" customHeight="1" x14ac:dyDescent="0.3">
      <c r="A488800" s="17"/>
    </row>
    <row r="489092" spans="1:1" ht="17.100000000000001" customHeight="1" x14ac:dyDescent="0.3">
      <c r="A489092" s="17"/>
    </row>
    <row r="489384" spans="1:1" ht="17.100000000000001" customHeight="1" x14ac:dyDescent="0.3">
      <c r="A489384" s="17"/>
    </row>
    <row r="489676" spans="1:1" ht="17.100000000000001" customHeight="1" x14ac:dyDescent="0.3">
      <c r="A489676" s="17"/>
    </row>
    <row r="489968" spans="1:1" ht="17.100000000000001" customHeight="1" x14ac:dyDescent="0.3">
      <c r="A489968" s="17"/>
    </row>
    <row r="490260" spans="1:1" ht="17.100000000000001" customHeight="1" x14ac:dyDescent="0.3">
      <c r="A490260" s="17"/>
    </row>
    <row r="490552" spans="1:1" ht="17.100000000000001" customHeight="1" x14ac:dyDescent="0.3">
      <c r="A490552" s="17"/>
    </row>
    <row r="490844" spans="1:1" ht="17.100000000000001" customHeight="1" x14ac:dyDescent="0.3">
      <c r="A490844" s="17"/>
    </row>
    <row r="491136" spans="1:1" ht="17.100000000000001" customHeight="1" x14ac:dyDescent="0.3">
      <c r="A491136" s="17"/>
    </row>
    <row r="491428" spans="1:1" ht="17.100000000000001" customHeight="1" x14ac:dyDescent="0.3">
      <c r="A491428" s="17"/>
    </row>
    <row r="491720" spans="1:1" ht="17.100000000000001" customHeight="1" x14ac:dyDescent="0.3">
      <c r="A491720" s="17"/>
    </row>
    <row r="492012" spans="1:1" ht="17.100000000000001" customHeight="1" x14ac:dyDescent="0.3">
      <c r="A492012" s="17"/>
    </row>
    <row r="492304" spans="1:1" ht="17.100000000000001" customHeight="1" x14ac:dyDescent="0.3">
      <c r="A492304" s="17"/>
    </row>
    <row r="492596" spans="1:1" ht="17.100000000000001" customHeight="1" x14ac:dyDescent="0.3">
      <c r="A492596" s="17"/>
    </row>
    <row r="492888" spans="1:1" ht="17.100000000000001" customHeight="1" x14ac:dyDescent="0.3">
      <c r="A492888" s="17"/>
    </row>
    <row r="493180" spans="1:1" ht="17.100000000000001" customHeight="1" x14ac:dyDescent="0.3">
      <c r="A493180" s="17"/>
    </row>
    <row r="493472" spans="1:1" ht="17.100000000000001" customHeight="1" x14ac:dyDescent="0.3">
      <c r="A493472" s="17"/>
    </row>
    <row r="493764" spans="1:1" ht="17.100000000000001" customHeight="1" x14ac:dyDescent="0.3">
      <c r="A493764" s="17"/>
    </row>
    <row r="494056" spans="1:1" ht="17.100000000000001" customHeight="1" x14ac:dyDescent="0.3">
      <c r="A494056" s="17"/>
    </row>
    <row r="494348" spans="1:1" ht="17.100000000000001" customHeight="1" x14ac:dyDescent="0.3">
      <c r="A494348" s="17"/>
    </row>
    <row r="494640" spans="1:1" ht="17.100000000000001" customHeight="1" x14ac:dyDescent="0.3">
      <c r="A494640" s="17"/>
    </row>
    <row r="494932" spans="1:1" ht="17.100000000000001" customHeight="1" x14ac:dyDescent="0.3">
      <c r="A494932" s="17"/>
    </row>
    <row r="495224" spans="1:1" ht="17.100000000000001" customHeight="1" x14ac:dyDescent="0.3">
      <c r="A495224" s="17"/>
    </row>
    <row r="495516" spans="1:1" ht="17.100000000000001" customHeight="1" x14ac:dyDescent="0.3">
      <c r="A495516" s="17"/>
    </row>
    <row r="495808" spans="1:1" ht="17.100000000000001" customHeight="1" x14ac:dyDescent="0.3">
      <c r="A495808" s="17"/>
    </row>
    <row r="496100" spans="1:1" ht="17.100000000000001" customHeight="1" x14ac:dyDescent="0.3">
      <c r="A496100" s="17"/>
    </row>
    <row r="496392" spans="1:1" ht="17.100000000000001" customHeight="1" x14ac:dyDescent="0.3">
      <c r="A496392" s="17"/>
    </row>
    <row r="496684" spans="1:1" ht="17.100000000000001" customHeight="1" x14ac:dyDescent="0.3">
      <c r="A496684" s="17"/>
    </row>
    <row r="496976" spans="1:1" ht="17.100000000000001" customHeight="1" x14ac:dyDescent="0.3">
      <c r="A496976" s="17"/>
    </row>
    <row r="497268" spans="1:1" ht="17.100000000000001" customHeight="1" x14ac:dyDescent="0.3">
      <c r="A497268" s="17"/>
    </row>
    <row r="497560" spans="1:1" ht="17.100000000000001" customHeight="1" x14ac:dyDescent="0.3">
      <c r="A497560" s="17"/>
    </row>
    <row r="497852" spans="1:1" ht="17.100000000000001" customHeight="1" x14ac:dyDescent="0.3">
      <c r="A497852" s="17"/>
    </row>
    <row r="498144" spans="1:1" ht="17.100000000000001" customHeight="1" x14ac:dyDescent="0.3">
      <c r="A498144" s="17"/>
    </row>
    <row r="498436" spans="1:1" ht="17.100000000000001" customHeight="1" x14ac:dyDescent="0.3">
      <c r="A498436" s="17"/>
    </row>
    <row r="498728" spans="1:1" ht="17.100000000000001" customHeight="1" x14ac:dyDescent="0.3">
      <c r="A498728" s="17"/>
    </row>
    <row r="499020" spans="1:1" ht="17.100000000000001" customHeight="1" x14ac:dyDescent="0.3">
      <c r="A499020" s="17"/>
    </row>
    <row r="499312" spans="1:1" ht="17.100000000000001" customHeight="1" x14ac:dyDescent="0.3">
      <c r="A499312" s="17"/>
    </row>
    <row r="499604" spans="1:1" ht="17.100000000000001" customHeight="1" x14ac:dyDescent="0.3">
      <c r="A499604" s="17"/>
    </row>
    <row r="499896" spans="1:1" ht="17.100000000000001" customHeight="1" x14ac:dyDescent="0.3">
      <c r="A499896" s="17"/>
    </row>
    <row r="500188" spans="1:1" ht="17.100000000000001" customHeight="1" x14ac:dyDescent="0.3">
      <c r="A500188" s="17"/>
    </row>
    <row r="500480" spans="1:1" ht="17.100000000000001" customHeight="1" x14ac:dyDescent="0.3">
      <c r="A500480" s="17"/>
    </row>
    <row r="500772" spans="1:1" ht="17.100000000000001" customHeight="1" x14ac:dyDescent="0.3">
      <c r="A500772" s="17"/>
    </row>
    <row r="501064" spans="1:1" ht="17.100000000000001" customHeight="1" x14ac:dyDescent="0.3">
      <c r="A501064" s="17"/>
    </row>
    <row r="501356" spans="1:1" ht="17.100000000000001" customHeight="1" x14ac:dyDescent="0.3">
      <c r="A501356" s="17"/>
    </row>
    <row r="501648" spans="1:1" ht="17.100000000000001" customHeight="1" x14ac:dyDescent="0.3">
      <c r="A501648" s="17"/>
    </row>
    <row r="501940" spans="1:1" ht="17.100000000000001" customHeight="1" x14ac:dyDescent="0.3">
      <c r="A501940" s="17"/>
    </row>
    <row r="502232" spans="1:1" ht="17.100000000000001" customHeight="1" x14ac:dyDescent="0.3">
      <c r="A502232" s="17"/>
    </row>
    <row r="502524" spans="1:1" ht="17.100000000000001" customHeight="1" x14ac:dyDescent="0.3">
      <c r="A502524" s="17"/>
    </row>
    <row r="502816" spans="1:1" ht="17.100000000000001" customHeight="1" x14ac:dyDescent="0.3">
      <c r="A502816" s="17"/>
    </row>
    <row r="503108" spans="1:1" ht="17.100000000000001" customHeight="1" x14ac:dyDescent="0.3">
      <c r="A503108" s="17"/>
    </row>
    <row r="503400" spans="1:1" ht="17.100000000000001" customHeight="1" x14ac:dyDescent="0.3">
      <c r="A503400" s="17"/>
    </row>
    <row r="503692" spans="1:1" ht="17.100000000000001" customHeight="1" x14ac:dyDescent="0.3">
      <c r="A503692" s="17"/>
    </row>
    <row r="503984" spans="1:1" ht="17.100000000000001" customHeight="1" x14ac:dyDescent="0.3">
      <c r="A503984" s="17"/>
    </row>
    <row r="504276" spans="1:1" ht="17.100000000000001" customHeight="1" x14ac:dyDescent="0.3">
      <c r="A504276" s="17"/>
    </row>
    <row r="504568" spans="1:1" ht="17.100000000000001" customHeight="1" x14ac:dyDescent="0.3">
      <c r="A504568" s="17"/>
    </row>
    <row r="504860" spans="1:1" ht="17.100000000000001" customHeight="1" x14ac:dyDescent="0.3">
      <c r="A504860" s="17"/>
    </row>
    <row r="505152" spans="1:1" ht="17.100000000000001" customHeight="1" x14ac:dyDescent="0.3">
      <c r="A505152" s="17"/>
    </row>
    <row r="505444" spans="1:1" ht="17.100000000000001" customHeight="1" x14ac:dyDescent="0.3">
      <c r="A505444" s="17"/>
    </row>
    <row r="505736" spans="1:1" ht="17.100000000000001" customHeight="1" x14ac:dyDescent="0.3">
      <c r="A505736" s="17"/>
    </row>
    <row r="506028" spans="1:1" ht="17.100000000000001" customHeight="1" x14ac:dyDescent="0.3">
      <c r="A506028" s="17"/>
    </row>
    <row r="506320" spans="1:1" ht="17.100000000000001" customHeight="1" x14ac:dyDescent="0.3">
      <c r="A506320" s="17"/>
    </row>
    <row r="506612" spans="1:1" ht="17.100000000000001" customHeight="1" x14ac:dyDescent="0.3">
      <c r="A506612" s="17"/>
    </row>
    <row r="506904" spans="1:1" ht="17.100000000000001" customHeight="1" x14ac:dyDescent="0.3">
      <c r="A506904" s="17"/>
    </row>
    <row r="507196" spans="1:1" ht="17.100000000000001" customHeight="1" x14ac:dyDescent="0.3">
      <c r="A507196" s="17"/>
    </row>
    <row r="507488" spans="1:1" ht="17.100000000000001" customHeight="1" x14ac:dyDescent="0.3">
      <c r="A507488" s="17"/>
    </row>
    <row r="507780" spans="1:1" ht="17.100000000000001" customHeight="1" x14ac:dyDescent="0.3">
      <c r="A507780" s="17"/>
    </row>
    <row r="508072" spans="1:1" ht="17.100000000000001" customHeight="1" x14ac:dyDescent="0.3">
      <c r="A508072" s="17"/>
    </row>
    <row r="508364" spans="1:1" ht="17.100000000000001" customHeight="1" x14ac:dyDescent="0.3">
      <c r="A508364" s="17"/>
    </row>
    <row r="508656" spans="1:1" ht="17.100000000000001" customHeight="1" x14ac:dyDescent="0.3">
      <c r="A508656" s="17"/>
    </row>
    <row r="508948" spans="1:1" ht="17.100000000000001" customHeight="1" x14ac:dyDescent="0.3">
      <c r="A508948" s="17"/>
    </row>
    <row r="509240" spans="1:1" ht="17.100000000000001" customHeight="1" x14ac:dyDescent="0.3">
      <c r="A509240" s="17"/>
    </row>
    <row r="509532" spans="1:1" ht="17.100000000000001" customHeight="1" x14ac:dyDescent="0.3">
      <c r="A509532" s="17"/>
    </row>
    <row r="509824" spans="1:1" ht="17.100000000000001" customHeight="1" x14ac:dyDescent="0.3">
      <c r="A509824" s="17"/>
    </row>
    <row r="510116" spans="1:1" ht="17.100000000000001" customHeight="1" x14ac:dyDescent="0.3">
      <c r="A510116" s="17"/>
    </row>
    <row r="510408" spans="1:1" ht="17.100000000000001" customHeight="1" x14ac:dyDescent="0.3">
      <c r="A510408" s="17"/>
    </row>
    <row r="510700" spans="1:1" ht="17.100000000000001" customHeight="1" x14ac:dyDescent="0.3">
      <c r="A510700" s="17"/>
    </row>
    <row r="510992" spans="1:1" ht="17.100000000000001" customHeight="1" x14ac:dyDescent="0.3">
      <c r="A510992" s="17"/>
    </row>
    <row r="511284" spans="1:1" ht="17.100000000000001" customHeight="1" x14ac:dyDescent="0.3">
      <c r="A511284" s="17"/>
    </row>
    <row r="511576" spans="1:1" ht="17.100000000000001" customHeight="1" x14ac:dyDescent="0.3">
      <c r="A511576" s="17"/>
    </row>
    <row r="511868" spans="1:1" ht="17.100000000000001" customHeight="1" x14ac:dyDescent="0.3">
      <c r="A511868" s="17"/>
    </row>
    <row r="512160" spans="1:1" ht="17.100000000000001" customHeight="1" x14ac:dyDescent="0.3">
      <c r="A512160" s="17"/>
    </row>
    <row r="512452" spans="1:1" ht="17.100000000000001" customHeight="1" x14ac:dyDescent="0.3">
      <c r="A512452" s="17"/>
    </row>
    <row r="512744" spans="1:1" ht="17.100000000000001" customHeight="1" x14ac:dyDescent="0.3">
      <c r="A512744" s="17"/>
    </row>
    <row r="513036" spans="1:1" ht="17.100000000000001" customHeight="1" x14ac:dyDescent="0.3">
      <c r="A513036" s="17"/>
    </row>
    <row r="513328" spans="1:1" ht="17.100000000000001" customHeight="1" x14ac:dyDescent="0.3">
      <c r="A513328" s="17"/>
    </row>
    <row r="513620" spans="1:1" ht="17.100000000000001" customHeight="1" x14ac:dyDescent="0.3">
      <c r="A513620" s="17"/>
    </row>
    <row r="513912" spans="1:1" ht="17.100000000000001" customHeight="1" x14ac:dyDescent="0.3">
      <c r="A513912" s="17"/>
    </row>
    <row r="514204" spans="1:1" ht="17.100000000000001" customHeight="1" x14ac:dyDescent="0.3">
      <c r="A514204" s="17"/>
    </row>
    <row r="514496" spans="1:1" ht="17.100000000000001" customHeight="1" x14ac:dyDescent="0.3">
      <c r="A514496" s="17"/>
    </row>
    <row r="514788" spans="1:1" ht="17.100000000000001" customHeight="1" x14ac:dyDescent="0.3">
      <c r="A514788" s="17"/>
    </row>
    <row r="515080" spans="1:1" ht="17.100000000000001" customHeight="1" x14ac:dyDescent="0.3">
      <c r="A515080" s="17"/>
    </row>
    <row r="515372" spans="1:1" ht="17.100000000000001" customHeight="1" x14ac:dyDescent="0.3">
      <c r="A515372" s="17"/>
    </row>
    <row r="515664" spans="1:1" ht="17.100000000000001" customHeight="1" x14ac:dyDescent="0.3">
      <c r="A515664" s="17"/>
    </row>
    <row r="515956" spans="1:1" ht="17.100000000000001" customHeight="1" x14ac:dyDescent="0.3">
      <c r="A515956" s="17"/>
    </row>
    <row r="516248" spans="1:1" ht="17.100000000000001" customHeight="1" x14ac:dyDescent="0.3">
      <c r="A516248" s="17"/>
    </row>
    <row r="516540" spans="1:1" ht="17.100000000000001" customHeight="1" x14ac:dyDescent="0.3">
      <c r="A516540" s="17"/>
    </row>
    <row r="516832" spans="1:1" ht="17.100000000000001" customHeight="1" x14ac:dyDescent="0.3">
      <c r="A516832" s="17"/>
    </row>
    <row r="517124" spans="1:1" ht="17.100000000000001" customHeight="1" x14ac:dyDescent="0.3">
      <c r="A517124" s="17"/>
    </row>
    <row r="517416" spans="1:1" ht="17.100000000000001" customHeight="1" x14ac:dyDescent="0.3">
      <c r="A517416" s="17"/>
    </row>
    <row r="517708" spans="1:1" ht="17.100000000000001" customHeight="1" x14ac:dyDescent="0.3">
      <c r="A517708" s="17"/>
    </row>
    <row r="518000" spans="1:1" ht="17.100000000000001" customHeight="1" x14ac:dyDescent="0.3">
      <c r="A518000" s="17"/>
    </row>
    <row r="518292" spans="1:1" ht="17.100000000000001" customHeight="1" x14ac:dyDescent="0.3">
      <c r="A518292" s="17"/>
    </row>
    <row r="518584" spans="1:1" ht="17.100000000000001" customHeight="1" x14ac:dyDescent="0.3">
      <c r="A518584" s="17"/>
    </row>
    <row r="518876" spans="1:1" ht="17.100000000000001" customHeight="1" x14ac:dyDescent="0.3">
      <c r="A518876" s="17"/>
    </row>
    <row r="519168" spans="1:1" ht="17.100000000000001" customHeight="1" x14ac:dyDescent="0.3">
      <c r="A519168" s="17"/>
    </row>
    <row r="519460" spans="1:1" ht="17.100000000000001" customHeight="1" x14ac:dyDescent="0.3">
      <c r="A519460" s="17"/>
    </row>
    <row r="519752" spans="1:1" ht="17.100000000000001" customHeight="1" x14ac:dyDescent="0.3">
      <c r="A519752" s="17"/>
    </row>
    <row r="520044" spans="1:1" ht="17.100000000000001" customHeight="1" x14ac:dyDescent="0.3">
      <c r="A520044" s="17"/>
    </row>
    <row r="520336" spans="1:1" ht="17.100000000000001" customHeight="1" x14ac:dyDescent="0.3">
      <c r="A520336" s="17"/>
    </row>
    <row r="520628" spans="1:1" ht="17.100000000000001" customHeight="1" x14ac:dyDescent="0.3">
      <c r="A520628" s="17"/>
    </row>
    <row r="520920" spans="1:1" ht="17.100000000000001" customHeight="1" x14ac:dyDescent="0.3">
      <c r="A520920" s="17"/>
    </row>
    <row r="521212" spans="1:1" ht="17.100000000000001" customHeight="1" x14ac:dyDescent="0.3">
      <c r="A521212" s="17"/>
    </row>
    <row r="521504" spans="1:1" ht="17.100000000000001" customHeight="1" x14ac:dyDescent="0.3">
      <c r="A521504" s="17"/>
    </row>
    <row r="521796" spans="1:1" ht="17.100000000000001" customHeight="1" x14ac:dyDescent="0.3">
      <c r="A521796" s="17"/>
    </row>
    <row r="522088" spans="1:1" ht="17.100000000000001" customHeight="1" x14ac:dyDescent="0.3">
      <c r="A522088" s="17"/>
    </row>
    <row r="522380" spans="1:1" ht="17.100000000000001" customHeight="1" x14ac:dyDescent="0.3">
      <c r="A522380" s="17"/>
    </row>
    <row r="522672" spans="1:1" ht="17.100000000000001" customHeight="1" x14ac:dyDescent="0.3">
      <c r="A522672" s="17"/>
    </row>
    <row r="522964" spans="1:1" ht="17.100000000000001" customHeight="1" x14ac:dyDescent="0.3">
      <c r="A522964" s="17"/>
    </row>
    <row r="523256" spans="1:1" ht="17.100000000000001" customHeight="1" x14ac:dyDescent="0.3">
      <c r="A523256" s="17"/>
    </row>
    <row r="523548" spans="1:1" ht="17.100000000000001" customHeight="1" x14ac:dyDescent="0.3">
      <c r="A523548" s="17"/>
    </row>
    <row r="523840" spans="1:1" ht="17.100000000000001" customHeight="1" x14ac:dyDescent="0.3">
      <c r="A523840" s="17"/>
    </row>
    <row r="524132" spans="1:1" ht="17.100000000000001" customHeight="1" x14ac:dyDescent="0.3">
      <c r="A524132" s="17"/>
    </row>
    <row r="524424" spans="1:1" ht="17.100000000000001" customHeight="1" x14ac:dyDescent="0.3">
      <c r="A524424" s="17"/>
    </row>
    <row r="524716" spans="1:1" ht="17.100000000000001" customHeight="1" x14ac:dyDescent="0.3">
      <c r="A524716" s="17"/>
    </row>
    <row r="525008" spans="1:1" ht="17.100000000000001" customHeight="1" x14ac:dyDescent="0.3">
      <c r="A525008" s="17"/>
    </row>
    <row r="525300" spans="1:1" ht="17.100000000000001" customHeight="1" x14ac:dyDescent="0.3">
      <c r="A525300" s="17"/>
    </row>
    <row r="525592" spans="1:1" ht="17.100000000000001" customHeight="1" x14ac:dyDescent="0.3">
      <c r="A525592" s="17"/>
    </row>
    <row r="525884" spans="1:1" ht="17.100000000000001" customHeight="1" x14ac:dyDescent="0.3">
      <c r="A525884" s="17"/>
    </row>
    <row r="526176" spans="1:1" ht="17.100000000000001" customHeight="1" x14ac:dyDescent="0.3">
      <c r="A526176" s="17"/>
    </row>
    <row r="526468" spans="1:1" ht="17.100000000000001" customHeight="1" x14ac:dyDescent="0.3">
      <c r="A526468" s="17"/>
    </row>
    <row r="526760" spans="1:1" ht="17.100000000000001" customHeight="1" x14ac:dyDescent="0.3">
      <c r="A526760" s="17"/>
    </row>
    <row r="527052" spans="1:1" ht="17.100000000000001" customHeight="1" x14ac:dyDescent="0.3">
      <c r="A527052" s="17"/>
    </row>
    <row r="527344" spans="1:1" ht="17.100000000000001" customHeight="1" x14ac:dyDescent="0.3">
      <c r="A527344" s="17"/>
    </row>
    <row r="527636" spans="1:1" ht="17.100000000000001" customHeight="1" x14ac:dyDescent="0.3">
      <c r="A527636" s="17"/>
    </row>
    <row r="527928" spans="1:1" ht="17.100000000000001" customHeight="1" x14ac:dyDescent="0.3">
      <c r="A527928" s="17"/>
    </row>
    <row r="528220" spans="1:1" ht="17.100000000000001" customHeight="1" x14ac:dyDescent="0.3">
      <c r="A528220" s="17"/>
    </row>
    <row r="528512" spans="1:1" ht="17.100000000000001" customHeight="1" x14ac:dyDescent="0.3">
      <c r="A528512" s="17"/>
    </row>
    <row r="528804" spans="1:1" ht="17.100000000000001" customHeight="1" x14ac:dyDescent="0.3">
      <c r="A528804" s="17"/>
    </row>
    <row r="529096" spans="1:1" ht="17.100000000000001" customHeight="1" x14ac:dyDescent="0.3">
      <c r="A529096" s="17"/>
    </row>
    <row r="529388" spans="1:1" ht="17.100000000000001" customHeight="1" x14ac:dyDescent="0.3">
      <c r="A529388" s="17"/>
    </row>
    <row r="529680" spans="1:1" ht="17.100000000000001" customHeight="1" x14ac:dyDescent="0.3">
      <c r="A529680" s="17"/>
    </row>
    <row r="529972" spans="1:1" ht="17.100000000000001" customHeight="1" x14ac:dyDescent="0.3">
      <c r="A529972" s="17"/>
    </row>
    <row r="530264" spans="1:1" ht="17.100000000000001" customHeight="1" x14ac:dyDescent="0.3">
      <c r="A530264" s="17"/>
    </row>
    <row r="530556" spans="1:1" ht="17.100000000000001" customHeight="1" x14ac:dyDescent="0.3">
      <c r="A530556" s="17"/>
    </row>
    <row r="530848" spans="1:1" ht="17.100000000000001" customHeight="1" x14ac:dyDescent="0.3">
      <c r="A530848" s="17"/>
    </row>
    <row r="531140" spans="1:1" ht="17.100000000000001" customHeight="1" x14ac:dyDescent="0.3">
      <c r="A531140" s="17"/>
    </row>
    <row r="531432" spans="1:1" ht="17.100000000000001" customHeight="1" x14ac:dyDescent="0.3">
      <c r="A531432" s="17"/>
    </row>
    <row r="531724" spans="1:1" ht="17.100000000000001" customHeight="1" x14ac:dyDescent="0.3">
      <c r="A531724" s="17"/>
    </row>
    <row r="532016" spans="1:1" ht="17.100000000000001" customHeight="1" x14ac:dyDescent="0.3">
      <c r="A532016" s="17"/>
    </row>
    <row r="532308" spans="1:1" ht="17.100000000000001" customHeight="1" x14ac:dyDescent="0.3">
      <c r="A532308" s="17"/>
    </row>
    <row r="532600" spans="1:1" ht="17.100000000000001" customHeight="1" x14ac:dyDescent="0.3">
      <c r="A532600" s="17"/>
    </row>
    <row r="532892" spans="1:1" ht="17.100000000000001" customHeight="1" x14ac:dyDescent="0.3">
      <c r="A532892" s="17"/>
    </row>
    <row r="533184" spans="1:1" ht="17.100000000000001" customHeight="1" x14ac:dyDescent="0.3">
      <c r="A533184" s="17"/>
    </row>
    <row r="533476" spans="1:1" ht="17.100000000000001" customHeight="1" x14ac:dyDescent="0.3">
      <c r="A533476" s="17"/>
    </row>
    <row r="533768" spans="1:1" ht="17.100000000000001" customHeight="1" x14ac:dyDescent="0.3">
      <c r="A533768" s="17"/>
    </row>
    <row r="534060" spans="1:1" ht="17.100000000000001" customHeight="1" x14ac:dyDescent="0.3">
      <c r="A534060" s="17"/>
    </row>
    <row r="534352" spans="1:1" ht="17.100000000000001" customHeight="1" x14ac:dyDescent="0.3">
      <c r="A534352" s="17"/>
    </row>
    <row r="534644" spans="1:1" ht="17.100000000000001" customHeight="1" x14ac:dyDescent="0.3">
      <c r="A534644" s="17"/>
    </row>
    <row r="534936" spans="1:1" ht="17.100000000000001" customHeight="1" x14ac:dyDescent="0.3">
      <c r="A534936" s="17"/>
    </row>
    <row r="535228" spans="1:1" ht="17.100000000000001" customHeight="1" x14ac:dyDescent="0.3">
      <c r="A535228" s="17"/>
    </row>
    <row r="535520" spans="1:1" ht="17.100000000000001" customHeight="1" x14ac:dyDescent="0.3">
      <c r="A535520" s="17"/>
    </row>
    <row r="535812" spans="1:1" ht="17.100000000000001" customHeight="1" x14ac:dyDescent="0.3">
      <c r="A535812" s="17"/>
    </row>
    <row r="536104" spans="1:1" ht="17.100000000000001" customHeight="1" x14ac:dyDescent="0.3">
      <c r="A536104" s="17"/>
    </row>
    <row r="536396" spans="1:1" ht="17.100000000000001" customHeight="1" x14ac:dyDescent="0.3">
      <c r="A536396" s="17"/>
    </row>
    <row r="536688" spans="1:1" ht="17.100000000000001" customHeight="1" x14ac:dyDescent="0.3">
      <c r="A536688" s="17"/>
    </row>
    <row r="536980" spans="1:1" ht="17.100000000000001" customHeight="1" x14ac:dyDescent="0.3">
      <c r="A536980" s="17"/>
    </row>
    <row r="537272" spans="1:1" ht="17.100000000000001" customHeight="1" x14ac:dyDescent="0.3">
      <c r="A537272" s="17"/>
    </row>
    <row r="537564" spans="1:1" ht="17.100000000000001" customHeight="1" x14ac:dyDescent="0.3">
      <c r="A537564" s="17"/>
    </row>
    <row r="537856" spans="1:1" ht="17.100000000000001" customHeight="1" x14ac:dyDescent="0.3">
      <c r="A537856" s="17"/>
    </row>
    <row r="538148" spans="1:1" ht="17.100000000000001" customHeight="1" x14ac:dyDescent="0.3">
      <c r="A538148" s="17"/>
    </row>
    <row r="538440" spans="1:1" ht="17.100000000000001" customHeight="1" x14ac:dyDescent="0.3">
      <c r="A538440" s="17"/>
    </row>
    <row r="538732" spans="1:1" ht="17.100000000000001" customHeight="1" x14ac:dyDescent="0.3">
      <c r="A538732" s="17"/>
    </row>
    <row r="539024" spans="1:1" ht="17.100000000000001" customHeight="1" x14ac:dyDescent="0.3">
      <c r="A539024" s="17"/>
    </row>
    <row r="539316" spans="1:1" ht="17.100000000000001" customHeight="1" x14ac:dyDescent="0.3">
      <c r="A539316" s="17"/>
    </row>
    <row r="539608" spans="1:1" ht="17.100000000000001" customHeight="1" x14ac:dyDescent="0.3">
      <c r="A539608" s="17"/>
    </row>
    <row r="539900" spans="1:1" ht="17.100000000000001" customHeight="1" x14ac:dyDescent="0.3">
      <c r="A539900" s="17"/>
    </row>
    <row r="540192" spans="1:1" ht="17.100000000000001" customHeight="1" x14ac:dyDescent="0.3">
      <c r="A540192" s="17"/>
    </row>
    <row r="540484" spans="1:1" ht="17.100000000000001" customHeight="1" x14ac:dyDescent="0.3">
      <c r="A540484" s="17"/>
    </row>
    <row r="540776" spans="1:1" ht="17.100000000000001" customHeight="1" x14ac:dyDescent="0.3">
      <c r="A540776" s="17"/>
    </row>
    <row r="541068" spans="1:1" ht="17.100000000000001" customHeight="1" x14ac:dyDescent="0.3">
      <c r="A541068" s="17"/>
    </row>
    <row r="541360" spans="1:1" ht="17.100000000000001" customHeight="1" x14ac:dyDescent="0.3">
      <c r="A541360" s="17"/>
    </row>
    <row r="541652" spans="1:1" ht="17.100000000000001" customHeight="1" x14ac:dyDescent="0.3">
      <c r="A541652" s="17"/>
    </row>
    <row r="541944" spans="1:1" ht="17.100000000000001" customHeight="1" x14ac:dyDescent="0.3">
      <c r="A541944" s="17"/>
    </row>
    <row r="542236" spans="1:1" ht="17.100000000000001" customHeight="1" x14ac:dyDescent="0.3">
      <c r="A542236" s="17"/>
    </row>
    <row r="542528" spans="1:1" ht="17.100000000000001" customHeight="1" x14ac:dyDescent="0.3">
      <c r="A542528" s="17"/>
    </row>
    <row r="542820" spans="1:1" ht="17.100000000000001" customHeight="1" x14ac:dyDescent="0.3">
      <c r="A542820" s="17"/>
    </row>
    <row r="543112" spans="1:1" ht="17.100000000000001" customHeight="1" x14ac:dyDescent="0.3">
      <c r="A543112" s="17"/>
    </row>
    <row r="543404" spans="1:1" ht="17.100000000000001" customHeight="1" x14ac:dyDescent="0.3">
      <c r="A543404" s="17"/>
    </row>
    <row r="543696" spans="1:1" ht="17.100000000000001" customHeight="1" x14ac:dyDescent="0.3">
      <c r="A543696" s="17"/>
    </row>
    <row r="543988" spans="1:1" ht="17.100000000000001" customHeight="1" x14ac:dyDescent="0.3">
      <c r="A543988" s="17"/>
    </row>
    <row r="544280" spans="1:1" ht="17.100000000000001" customHeight="1" x14ac:dyDescent="0.3">
      <c r="A544280" s="17"/>
    </row>
    <row r="544572" spans="1:1" ht="17.100000000000001" customHeight="1" x14ac:dyDescent="0.3">
      <c r="A544572" s="17"/>
    </row>
    <row r="544864" spans="1:1" ht="17.100000000000001" customHeight="1" x14ac:dyDescent="0.3">
      <c r="A544864" s="17"/>
    </row>
    <row r="545156" spans="1:1" ht="17.100000000000001" customHeight="1" x14ac:dyDescent="0.3">
      <c r="A545156" s="17"/>
    </row>
    <row r="545448" spans="1:1" ht="17.100000000000001" customHeight="1" x14ac:dyDescent="0.3">
      <c r="A545448" s="17"/>
    </row>
    <row r="545740" spans="1:1" ht="17.100000000000001" customHeight="1" x14ac:dyDescent="0.3">
      <c r="A545740" s="17"/>
    </row>
    <row r="546032" spans="1:1" ht="17.100000000000001" customHeight="1" x14ac:dyDescent="0.3">
      <c r="A546032" s="17"/>
    </row>
    <row r="546324" spans="1:1" ht="17.100000000000001" customHeight="1" x14ac:dyDescent="0.3">
      <c r="A546324" s="17"/>
    </row>
    <row r="546616" spans="1:1" ht="17.100000000000001" customHeight="1" x14ac:dyDescent="0.3">
      <c r="A546616" s="17"/>
    </row>
    <row r="546908" spans="1:1" ht="17.100000000000001" customHeight="1" x14ac:dyDescent="0.3">
      <c r="A546908" s="17"/>
    </row>
    <row r="547200" spans="1:1" ht="17.100000000000001" customHeight="1" x14ac:dyDescent="0.3">
      <c r="A547200" s="17"/>
    </row>
    <row r="547492" spans="1:1" ht="17.100000000000001" customHeight="1" x14ac:dyDescent="0.3">
      <c r="A547492" s="17"/>
    </row>
    <row r="547784" spans="1:1" ht="17.100000000000001" customHeight="1" x14ac:dyDescent="0.3">
      <c r="A547784" s="17"/>
    </row>
    <row r="548076" spans="1:1" ht="17.100000000000001" customHeight="1" x14ac:dyDescent="0.3">
      <c r="A548076" s="17"/>
    </row>
    <row r="548368" spans="1:1" ht="17.100000000000001" customHeight="1" x14ac:dyDescent="0.3">
      <c r="A548368" s="17"/>
    </row>
    <row r="548660" spans="1:1" ht="17.100000000000001" customHeight="1" x14ac:dyDescent="0.3">
      <c r="A548660" s="17"/>
    </row>
    <row r="548952" spans="1:1" ht="17.100000000000001" customHeight="1" x14ac:dyDescent="0.3">
      <c r="A548952" s="17"/>
    </row>
    <row r="549244" spans="1:1" ht="17.100000000000001" customHeight="1" x14ac:dyDescent="0.3">
      <c r="A549244" s="17"/>
    </row>
    <row r="549536" spans="1:1" ht="17.100000000000001" customHeight="1" x14ac:dyDescent="0.3">
      <c r="A549536" s="17"/>
    </row>
    <row r="549828" spans="1:1" ht="17.100000000000001" customHeight="1" x14ac:dyDescent="0.3">
      <c r="A549828" s="17"/>
    </row>
    <row r="550120" spans="1:1" ht="17.100000000000001" customHeight="1" x14ac:dyDescent="0.3">
      <c r="A550120" s="17"/>
    </row>
    <row r="550412" spans="1:1" ht="17.100000000000001" customHeight="1" x14ac:dyDescent="0.3">
      <c r="A550412" s="17"/>
    </row>
    <row r="550704" spans="1:1" ht="17.100000000000001" customHeight="1" x14ac:dyDescent="0.3">
      <c r="A550704" s="17"/>
    </row>
    <row r="550996" spans="1:1" ht="17.100000000000001" customHeight="1" x14ac:dyDescent="0.3">
      <c r="A550996" s="17"/>
    </row>
    <row r="551288" spans="1:1" ht="17.100000000000001" customHeight="1" x14ac:dyDescent="0.3">
      <c r="A551288" s="17"/>
    </row>
    <row r="551580" spans="1:1" ht="17.100000000000001" customHeight="1" x14ac:dyDescent="0.3">
      <c r="A551580" s="17"/>
    </row>
    <row r="551872" spans="1:1" ht="17.100000000000001" customHeight="1" x14ac:dyDescent="0.3">
      <c r="A551872" s="17"/>
    </row>
    <row r="552164" spans="1:1" ht="17.100000000000001" customHeight="1" x14ac:dyDescent="0.3">
      <c r="A552164" s="17"/>
    </row>
    <row r="552456" spans="1:1" ht="17.100000000000001" customHeight="1" x14ac:dyDescent="0.3">
      <c r="A552456" s="17"/>
    </row>
    <row r="552748" spans="1:1" ht="17.100000000000001" customHeight="1" x14ac:dyDescent="0.3">
      <c r="A552748" s="17"/>
    </row>
    <row r="553040" spans="1:1" ht="17.100000000000001" customHeight="1" x14ac:dyDescent="0.3">
      <c r="A553040" s="17"/>
    </row>
    <row r="553332" spans="1:1" ht="17.100000000000001" customHeight="1" x14ac:dyDescent="0.3">
      <c r="A553332" s="17"/>
    </row>
    <row r="553624" spans="1:1" ht="17.100000000000001" customHeight="1" x14ac:dyDescent="0.3">
      <c r="A553624" s="17"/>
    </row>
    <row r="553916" spans="1:1" ht="17.100000000000001" customHeight="1" x14ac:dyDescent="0.3">
      <c r="A553916" s="17"/>
    </row>
    <row r="554208" spans="1:1" ht="17.100000000000001" customHeight="1" x14ac:dyDescent="0.3">
      <c r="A554208" s="17"/>
    </row>
    <row r="554500" spans="1:1" ht="17.100000000000001" customHeight="1" x14ac:dyDescent="0.3">
      <c r="A554500" s="17"/>
    </row>
    <row r="554792" spans="1:1" ht="17.100000000000001" customHeight="1" x14ac:dyDescent="0.3">
      <c r="A554792" s="17"/>
    </row>
    <row r="555084" spans="1:1" ht="17.100000000000001" customHeight="1" x14ac:dyDescent="0.3">
      <c r="A555084" s="17"/>
    </row>
    <row r="555376" spans="1:1" ht="17.100000000000001" customHeight="1" x14ac:dyDescent="0.3">
      <c r="A555376" s="17"/>
    </row>
    <row r="555668" spans="1:1" ht="17.100000000000001" customHeight="1" x14ac:dyDescent="0.3">
      <c r="A555668" s="17"/>
    </row>
    <row r="555960" spans="1:1" ht="17.100000000000001" customHeight="1" x14ac:dyDescent="0.3">
      <c r="A555960" s="17"/>
    </row>
    <row r="556252" spans="1:1" ht="17.100000000000001" customHeight="1" x14ac:dyDescent="0.3">
      <c r="A556252" s="17"/>
    </row>
    <row r="556544" spans="1:1" ht="17.100000000000001" customHeight="1" x14ac:dyDescent="0.3">
      <c r="A556544" s="17"/>
    </row>
    <row r="556836" spans="1:1" ht="17.100000000000001" customHeight="1" x14ac:dyDescent="0.3">
      <c r="A556836" s="17"/>
    </row>
    <row r="557128" spans="1:1" ht="17.100000000000001" customHeight="1" x14ac:dyDescent="0.3">
      <c r="A557128" s="17"/>
    </row>
    <row r="557420" spans="1:1" ht="17.100000000000001" customHeight="1" x14ac:dyDescent="0.3">
      <c r="A557420" s="17"/>
    </row>
    <row r="557712" spans="1:1" ht="17.100000000000001" customHeight="1" x14ac:dyDescent="0.3">
      <c r="A557712" s="17"/>
    </row>
    <row r="558004" spans="1:1" ht="17.100000000000001" customHeight="1" x14ac:dyDescent="0.3">
      <c r="A558004" s="17"/>
    </row>
    <row r="558296" spans="1:1" ht="17.100000000000001" customHeight="1" x14ac:dyDescent="0.3">
      <c r="A558296" s="17"/>
    </row>
    <row r="558588" spans="1:1" ht="17.100000000000001" customHeight="1" x14ac:dyDescent="0.3">
      <c r="A558588" s="17"/>
    </row>
    <row r="558880" spans="1:1" ht="17.100000000000001" customHeight="1" x14ac:dyDescent="0.3">
      <c r="A558880" s="17"/>
    </row>
    <row r="559172" spans="1:1" ht="17.100000000000001" customHeight="1" x14ac:dyDescent="0.3">
      <c r="A559172" s="17"/>
    </row>
    <row r="559464" spans="1:1" ht="17.100000000000001" customHeight="1" x14ac:dyDescent="0.3">
      <c r="A559464" s="17"/>
    </row>
    <row r="559756" spans="1:1" ht="17.100000000000001" customHeight="1" x14ac:dyDescent="0.3">
      <c r="A559756" s="17"/>
    </row>
    <row r="560048" spans="1:1" ht="17.100000000000001" customHeight="1" x14ac:dyDescent="0.3">
      <c r="A560048" s="17"/>
    </row>
    <row r="560340" spans="1:1" ht="17.100000000000001" customHeight="1" x14ac:dyDescent="0.3">
      <c r="A560340" s="17"/>
    </row>
    <row r="560632" spans="1:1" ht="17.100000000000001" customHeight="1" x14ac:dyDescent="0.3">
      <c r="A560632" s="17"/>
    </row>
    <row r="560924" spans="1:1" ht="17.100000000000001" customHeight="1" x14ac:dyDescent="0.3">
      <c r="A560924" s="17"/>
    </row>
    <row r="561216" spans="1:1" ht="17.100000000000001" customHeight="1" x14ac:dyDescent="0.3">
      <c r="A561216" s="17"/>
    </row>
    <row r="561508" spans="1:1" ht="17.100000000000001" customHeight="1" x14ac:dyDescent="0.3">
      <c r="A561508" s="17"/>
    </row>
    <row r="561800" spans="1:1" ht="17.100000000000001" customHeight="1" x14ac:dyDescent="0.3">
      <c r="A561800" s="17"/>
    </row>
    <row r="562092" spans="1:1" ht="17.100000000000001" customHeight="1" x14ac:dyDescent="0.3">
      <c r="A562092" s="17"/>
    </row>
    <row r="562384" spans="1:1" ht="17.100000000000001" customHeight="1" x14ac:dyDescent="0.3">
      <c r="A562384" s="17"/>
    </row>
    <row r="562676" spans="1:1" ht="17.100000000000001" customHeight="1" x14ac:dyDescent="0.3">
      <c r="A562676" s="17"/>
    </row>
    <row r="562968" spans="1:1" ht="17.100000000000001" customHeight="1" x14ac:dyDescent="0.3">
      <c r="A562968" s="17"/>
    </row>
    <row r="563260" spans="1:1" ht="17.100000000000001" customHeight="1" x14ac:dyDescent="0.3">
      <c r="A563260" s="17"/>
    </row>
    <row r="563552" spans="1:1" ht="17.100000000000001" customHeight="1" x14ac:dyDescent="0.3">
      <c r="A563552" s="17"/>
    </row>
    <row r="563844" spans="1:1" ht="17.100000000000001" customHeight="1" x14ac:dyDescent="0.3">
      <c r="A563844" s="17"/>
    </row>
    <row r="564136" spans="1:1" ht="17.100000000000001" customHeight="1" x14ac:dyDescent="0.3">
      <c r="A564136" s="17"/>
    </row>
    <row r="564428" spans="1:1" ht="17.100000000000001" customHeight="1" x14ac:dyDescent="0.3">
      <c r="A564428" s="17"/>
    </row>
    <row r="564720" spans="1:1" ht="17.100000000000001" customHeight="1" x14ac:dyDescent="0.3">
      <c r="A564720" s="17"/>
    </row>
    <row r="565012" spans="1:1" ht="17.100000000000001" customHeight="1" x14ac:dyDescent="0.3">
      <c r="A565012" s="17"/>
    </row>
    <row r="565304" spans="1:1" ht="17.100000000000001" customHeight="1" x14ac:dyDescent="0.3">
      <c r="A565304" s="17"/>
    </row>
    <row r="565596" spans="1:1" ht="17.100000000000001" customHeight="1" x14ac:dyDescent="0.3">
      <c r="A565596" s="17"/>
    </row>
    <row r="565888" spans="1:1" ht="17.100000000000001" customHeight="1" x14ac:dyDescent="0.3">
      <c r="A565888" s="17"/>
    </row>
    <row r="566180" spans="1:1" ht="17.100000000000001" customHeight="1" x14ac:dyDescent="0.3">
      <c r="A566180" s="17"/>
    </row>
    <row r="566472" spans="1:1" ht="17.100000000000001" customHeight="1" x14ac:dyDescent="0.3">
      <c r="A566472" s="17"/>
    </row>
    <row r="566764" spans="1:1" ht="17.100000000000001" customHeight="1" x14ac:dyDescent="0.3">
      <c r="A566764" s="17"/>
    </row>
    <row r="567056" spans="1:1" ht="17.100000000000001" customHeight="1" x14ac:dyDescent="0.3">
      <c r="A567056" s="17"/>
    </row>
    <row r="567348" spans="1:1" ht="17.100000000000001" customHeight="1" x14ac:dyDescent="0.3">
      <c r="A567348" s="17"/>
    </row>
    <row r="567640" spans="1:1" ht="17.100000000000001" customHeight="1" x14ac:dyDescent="0.3">
      <c r="A567640" s="17"/>
    </row>
    <row r="567932" spans="1:1" ht="17.100000000000001" customHeight="1" x14ac:dyDescent="0.3">
      <c r="A567932" s="17"/>
    </row>
    <row r="568224" spans="1:1" ht="17.100000000000001" customHeight="1" x14ac:dyDescent="0.3">
      <c r="A568224" s="17"/>
    </row>
    <row r="568516" spans="1:1" ht="17.100000000000001" customHeight="1" x14ac:dyDescent="0.3">
      <c r="A568516" s="17"/>
    </row>
    <row r="568808" spans="1:1" ht="17.100000000000001" customHeight="1" x14ac:dyDescent="0.3">
      <c r="A568808" s="17"/>
    </row>
    <row r="569100" spans="1:1" ht="17.100000000000001" customHeight="1" x14ac:dyDescent="0.3">
      <c r="A569100" s="17"/>
    </row>
    <row r="569392" spans="1:1" ht="17.100000000000001" customHeight="1" x14ac:dyDescent="0.3">
      <c r="A569392" s="17"/>
    </row>
    <row r="569684" spans="1:1" ht="17.100000000000001" customHeight="1" x14ac:dyDescent="0.3">
      <c r="A569684" s="17"/>
    </row>
    <row r="569976" spans="1:1" ht="17.100000000000001" customHeight="1" x14ac:dyDescent="0.3">
      <c r="A569976" s="17"/>
    </row>
    <row r="570268" spans="1:1" ht="17.100000000000001" customHeight="1" x14ac:dyDescent="0.3">
      <c r="A570268" s="17"/>
    </row>
    <row r="570560" spans="1:1" ht="17.100000000000001" customHeight="1" x14ac:dyDescent="0.3">
      <c r="A570560" s="17"/>
    </row>
    <row r="570852" spans="1:1" ht="17.100000000000001" customHeight="1" x14ac:dyDescent="0.3">
      <c r="A570852" s="17"/>
    </row>
    <row r="571144" spans="1:1" ht="17.100000000000001" customHeight="1" x14ac:dyDescent="0.3">
      <c r="A571144" s="17"/>
    </row>
    <row r="571436" spans="1:1" ht="17.100000000000001" customHeight="1" x14ac:dyDescent="0.3">
      <c r="A571436" s="17"/>
    </row>
    <row r="571728" spans="1:1" ht="17.100000000000001" customHeight="1" x14ac:dyDescent="0.3">
      <c r="A571728" s="17"/>
    </row>
    <row r="572020" spans="1:1" ht="17.100000000000001" customHeight="1" x14ac:dyDescent="0.3">
      <c r="A572020" s="17"/>
    </row>
    <row r="572312" spans="1:1" ht="17.100000000000001" customHeight="1" x14ac:dyDescent="0.3">
      <c r="A572312" s="17"/>
    </row>
    <row r="572604" spans="1:1" ht="17.100000000000001" customHeight="1" x14ac:dyDescent="0.3">
      <c r="A572604" s="17"/>
    </row>
    <row r="572896" spans="1:1" ht="17.100000000000001" customHeight="1" x14ac:dyDescent="0.3">
      <c r="A572896" s="17"/>
    </row>
    <row r="573188" spans="1:1" ht="17.100000000000001" customHeight="1" x14ac:dyDescent="0.3">
      <c r="A573188" s="17"/>
    </row>
    <row r="573480" spans="1:1" ht="17.100000000000001" customHeight="1" x14ac:dyDescent="0.3">
      <c r="A573480" s="17"/>
    </row>
    <row r="573772" spans="1:1" ht="17.100000000000001" customHeight="1" x14ac:dyDescent="0.3">
      <c r="A573772" s="17"/>
    </row>
    <row r="574064" spans="1:1" ht="17.100000000000001" customHeight="1" x14ac:dyDescent="0.3">
      <c r="A574064" s="17"/>
    </row>
    <row r="574356" spans="1:1" ht="17.100000000000001" customHeight="1" x14ac:dyDescent="0.3">
      <c r="A574356" s="17"/>
    </row>
    <row r="574648" spans="1:1" ht="17.100000000000001" customHeight="1" x14ac:dyDescent="0.3">
      <c r="A574648" s="17"/>
    </row>
    <row r="574940" spans="1:1" ht="17.100000000000001" customHeight="1" x14ac:dyDescent="0.3">
      <c r="A574940" s="17"/>
    </row>
    <row r="575232" spans="1:1" ht="17.100000000000001" customHeight="1" x14ac:dyDescent="0.3">
      <c r="A575232" s="17"/>
    </row>
    <row r="575524" spans="1:1" ht="17.100000000000001" customHeight="1" x14ac:dyDescent="0.3">
      <c r="A575524" s="17"/>
    </row>
    <row r="575816" spans="1:1" ht="17.100000000000001" customHeight="1" x14ac:dyDescent="0.3">
      <c r="A575816" s="17"/>
    </row>
    <row r="576108" spans="1:1" ht="17.100000000000001" customHeight="1" x14ac:dyDescent="0.3">
      <c r="A576108" s="17"/>
    </row>
    <row r="576400" spans="1:1" ht="17.100000000000001" customHeight="1" x14ac:dyDescent="0.3">
      <c r="A576400" s="17"/>
    </row>
    <row r="576692" spans="1:1" ht="17.100000000000001" customHeight="1" x14ac:dyDescent="0.3">
      <c r="A576692" s="17"/>
    </row>
    <row r="576984" spans="1:1" ht="17.100000000000001" customHeight="1" x14ac:dyDescent="0.3">
      <c r="A576984" s="17"/>
    </row>
    <row r="577276" spans="1:1" ht="17.100000000000001" customHeight="1" x14ac:dyDescent="0.3">
      <c r="A577276" s="17"/>
    </row>
    <row r="577568" spans="1:1" ht="17.100000000000001" customHeight="1" x14ac:dyDescent="0.3">
      <c r="A577568" s="17"/>
    </row>
    <row r="577860" spans="1:1" ht="17.100000000000001" customHeight="1" x14ac:dyDescent="0.3">
      <c r="A577860" s="17"/>
    </row>
    <row r="578152" spans="1:1" ht="17.100000000000001" customHeight="1" x14ac:dyDescent="0.3">
      <c r="A578152" s="17"/>
    </row>
    <row r="578444" spans="1:1" ht="17.100000000000001" customHeight="1" x14ac:dyDescent="0.3">
      <c r="A578444" s="17"/>
    </row>
    <row r="578736" spans="1:1" ht="17.100000000000001" customHeight="1" x14ac:dyDescent="0.3">
      <c r="A578736" s="17"/>
    </row>
    <row r="579028" spans="1:1" ht="17.100000000000001" customHeight="1" x14ac:dyDescent="0.3">
      <c r="A579028" s="17"/>
    </row>
    <row r="579320" spans="1:1" ht="17.100000000000001" customHeight="1" x14ac:dyDescent="0.3">
      <c r="A579320" s="17"/>
    </row>
    <row r="579612" spans="1:1" ht="17.100000000000001" customHeight="1" x14ac:dyDescent="0.3">
      <c r="A579612" s="17"/>
    </row>
    <row r="579904" spans="1:1" ht="17.100000000000001" customHeight="1" x14ac:dyDescent="0.3">
      <c r="A579904" s="17"/>
    </row>
    <row r="580196" spans="1:1" ht="17.100000000000001" customHeight="1" x14ac:dyDescent="0.3">
      <c r="A580196" s="17"/>
    </row>
    <row r="580488" spans="1:1" ht="17.100000000000001" customHeight="1" x14ac:dyDescent="0.3">
      <c r="A580488" s="17"/>
    </row>
    <row r="580780" spans="1:1" ht="17.100000000000001" customHeight="1" x14ac:dyDescent="0.3">
      <c r="A580780" s="17"/>
    </row>
    <row r="581072" spans="1:1" ht="17.100000000000001" customHeight="1" x14ac:dyDescent="0.3">
      <c r="A581072" s="17"/>
    </row>
    <row r="581364" spans="1:1" ht="17.100000000000001" customHeight="1" x14ac:dyDescent="0.3">
      <c r="A581364" s="17"/>
    </row>
    <row r="581656" spans="1:1" ht="17.100000000000001" customHeight="1" x14ac:dyDescent="0.3">
      <c r="A581656" s="17"/>
    </row>
    <row r="581948" spans="1:1" ht="17.100000000000001" customHeight="1" x14ac:dyDescent="0.3">
      <c r="A581948" s="17"/>
    </row>
    <row r="582240" spans="1:1" ht="17.100000000000001" customHeight="1" x14ac:dyDescent="0.3">
      <c r="A582240" s="17"/>
    </row>
    <row r="582532" spans="1:1" ht="17.100000000000001" customHeight="1" x14ac:dyDescent="0.3">
      <c r="A582532" s="17"/>
    </row>
    <row r="582824" spans="1:1" ht="17.100000000000001" customHeight="1" x14ac:dyDescent="0.3">
      <c r="A582824" s="17"/>
    </row>
    <row r="583116" spans="1:1" ht="17.100000000000001" customHeight="1" x14ac:dyDescent="0.3">
      <c r="A583116" s="17"/>
    </row>
    <row r="583408" spans="1:1" ht="17.100000000000001" customHeight="1" x14ac:dyDescent="0.3">
      <c r="A583408" s="17"/>
    </row>
    <row r="583700" spans="1:1" ht="17.100000000000001" customHeight="1" x14ac:dyDescent="0.3">
      <c r="A583700" s="17"/>
    </row>
    <row r="583992" spans="1:1" ht="17.100000000000001" customHeight="1" x14ac:dyDescent="0.3">
      <c r="A583992" s="17"/>
    </row>
    <row r="584284" spans="1:1" ht="17.100000000000001" customHeight="1" x14ac:dyDescent="0.3">
      <c r="A584284" s="17"/>
    </row>
    <row r="584576" spans="1:1" ht="17.100000000000001" customHeight="1" x14ac:dyDescent="0.3">
      <c r="A584576" s="17"/>
    </row>
    <row r="584868" spans="1:1" ht="17.100000000000001" customHeight="1" x14ac:dyDescent="0.3">
      <c r="A584868" s="17"/>
    </row>
    <row r="585160" spans="1:1" ht="17.100000000000001" customHeight="1" x14ac:dyDescent="0.3">
      <c r="A585160" s="17"/>
    </row>
    <row r="585452" spans="1:1" ht="17.100000000000001" customHeight="1" x14ac:dyDescent="0.3">
      <c r="A585452" s="17"/>
    </row>
    <row r="585744" spans="1:1" ht="17.100000000000001" customHeight="1" x14ac:dyDescent="0.3">
      <c r="A585744" s="17"/>
    </row>
    <row r="586036" spans="1:1" ht="17.100000000000001" customHeight="1" x14ac:dyDescent="0.3">
      <c r="A586036" s="17"/>
    </row>
    <row r="586328" spans="1:1" ht="17.100000000000001" customHeight="1" x14ac:dyDescent="0.3">
      <c r="A586328" s="17"/>
    </row>
    <row r="586620" spans="1:1" ht="17.100000000000001" customHeight="1" x14ac:dyDescent="0.3">
      <c r="A586620" s="17"/>
    </row>
    <row r="586912" spans="1:1" ht="17.100000000000001" customHeight="1" x14ac:dyDescent="0.3">
      <c r="A586912" s="17"/>
    </row>
    <row r="587204" spans="1:1" ht="17.100000000000001" customHeight="1" x14ac:dyDescent="0.3">
      <c r="A587204" s="17"/>
    </row>
    <row r="587496" spans="1:1" ht="17.100000000000001" customHeight="1" x14ac:dyDescent="0.3">
      <c r="A587496" s="17"/>
    </row>
    <row r="587788" spans="1:1" ht="17.100000000000001" customHeight="1" x14ac:dyDescent="0.3">
      <c r="A587788" s="17"/>
    </row>
    <row r="588080" spans="1:1" ht="17.100000000000001" customHeight="1" x14ac:dyDescent="0.3">
      <c r="A588080" s="17"/>
    </row>
    <row r="588372" spans="1:1" ht="17.100000000000001" customHeight="1" x14ac:dyDescent="0.3">
      <c r="A588372" s="17"/>
    </row>
    <row r="588664" spans="1:1" ht="17.100000000000001" customHeight="1" x14ac:dyDescent="0.3">
      <c r="A588664" s="17"/>
    </row>
    <row r="588956" spans="1:1" ht="17.100000000000001" customHeight="1" x14ac:dyDescent="0.3">
      <c r="A588956" s="17"/>
    </row>
    <row r="589248" spans="1:1" ht="17.100000000000001" customHeight="1" x14ac:dyDescent="0.3">
      <c r="A589248" s="17"/>
    </row>
    <row r="589540" spans="1:1" ht="17.100000000000001" customHeight="1" x14ac:dyDescent="0.3">
      <c r="A589540" s="17"/>
    </row>
    <row r="589832" spans="1:1" ht="17.100000000000001" customHeight="1" x14ac:dyDescent="0.3">
      <c r="A589832" s="17"/>
    </row>
    <row r="590124" spans="1:1" ht="17.100000000000001" customHeight="1" x14ac:dyDescent="0.3">
      <c r="A590124" s="17"/>
    </row>
    <row r="590416" spans="1:1" ht="17.100000000000001" customHeight="1" x14ac:dyDescent="0.3">
      <c r="A590416" s="17"/>
    </row>
    <row r="590708" spans="1:1" ht="17.100000000000001" customHeight="1" x14ac:dyDescent="0.3">
      <c r="A590708" s="17"/>
    </row>
    <row r="591000" spans="1:1" ht="17.100000000000001" customHeight="1" x14ac:dyDescent="0.3">
      <c r="A591000" s="17"/>
    </row>
    <row r="591292" spans="1:1" ht="17.100000000000001" customHeight="1" x14ac:dyDescent="0.3">
      <c r="A591292" s="17"/>
    </row>
    <row r="591584" spans="1:1" ht="17.100000000000001" customHeight="1" x14ac:dyDescent="0.3">
      <c r="A591584" s="17"/>
    </row>
    <row r="591876" spans="1:1" ht="17.100000000000001" customHeight="1" x14ac:dyDescent="0.3">
      <c r="A591876" s="17"/>
    </row>
    <row r="592168" spans="1:1" ht="17.100000000000001" customHeight="1" x14ac:dyDescent="0.3">
      <c r="A592168" s="17"/>
    </row>
    <row r="592460" spans="1:1" ht="17.100000000000001" customHeight="1" x14ac:dyDescent="0.3">
      <c r="A592460" s="17"/>
    </row>
    <row r="592752" spans="1:1" ht="17.100000000000001" customHeight="1" x14ac:dyDescent="0.3">
      <c r="A592752" s="17"/>
    </row>
    <row r="593044" spans="1:1" ht="17.100000000000001" customHeight="1" x14ac:dyDescent="0.3">
      <c r="A593044" s="17"/>
    </row>
    <row r="593336" spans="1:1" ht="17.100000000000001" customHeight="1" x14ac:dyDescent="0.3">
      <c r="A593336" s="17"/>
    </row>
    <row r="593628" spans="1:1" ht="17.100000000000001" customHeight="1" x14ac:dyDescent="0.3">
      <c r="A593628" s="17"/>
    </row>
    <row r="593920" spans="1:1" ht="17.100000000000001" customHeight="1" x14ac:dyDescent="0.3">
      <c r="A593920" s="17"/>
    </row>
    <row r="594212" spans="1:1" ht="17.100000000000001" customHeight="1" x14ac:dyDescent="0.3">
      <c r="A594212" s="17"/>
    </row>
    <row r="594504" spans="1:1" ht="17.100000000000001" customHeight="1" x14ac:dyDescent="0.3">
      <c r="A594504" s="17"/>
    </row>
    <row r="594796" spans="1:1" ht="17.100000000000001" customHeight="1" x14ac:dyDescent="0.3">
      <c r="A594796" s="17"/>
    </row>
    <row r="595088" spans="1:1" ht="17.100000000000001" customHeight="1" x14ac:dyDescent="0.3">
      <c r="A595088" s="17"/>
    </row>
    <row r="595380" spans="1:1" ht="17.100000000000001" customHeight="1" x14ac:dyDescent="0.3">
      <c r="A595380" s="17"/>
    </row>
    <row r="595672" spans="1:1" ht="17.100000000000001" customHeight="1" x14ac:dyDescent="0.3">
      <c r="A595672" s="17"/>
    </row>
    <row r="595964" spans="1:1" ht="17.100000000000001" customHeight="1" x14ac:dyDescent="0.3">
      <c r="A595964" s="17"/>
    </row>
    <row r="596256" spans="1:1" ht="17.100000000000001" customHeight="1" x14ac:dyDescent="0.3">
      <c r="A596256" s="17"/>
    </row>
    <row r="596548" spans="1:1" ht="17.100000000000001" customHeight="1" x14ac:dyDescent="0.3">
      <c r="A596548" s="17"/>
    </row>
    <row r="596840" spans="1:1" ht="17.100000000000001" customHeight="1" x14ac:dyDescent="0.3">
      <c r="A596840" s="17"/>
    </row>
    <row r="597132" spans="1:1" ht="17.100000000000001" customHeight="1" x14ac:dyDescent="0.3">
      <c r="A597132" s="17"/>
    </row>
    <row r="597424" spans="1:1" ht="17.100000000000001" customHeight="1" x14ac:dyDescent="0.3">
      <c r="A597424" s="17"/>
    </row>
    <row r="597716" spans="1:1" ht="17.100000000000001" customHeight="1" x14ac:dyDescent="0.3">
      <c r="A597716" s="17"/>
    </row>
    <row r="598008" spans="1:1" ht="17.100000000000001" customHeight="1" x14ac:dyDescent="0.3">
      <c r="A598008" s="17"/>
    </row>
    <row r="598300" spans="1:1" ht="17.100000000000001" customHeight="1" x14ac:dyDescent="0.3">
      <c r="A598300" s="17"/>
    </row>
    <row r="598592" spans="1:1" ht="17.100000000000001" customHeight="1" x14ac:dyDescent="0.3">
      <c r="A598592" s="17"/>
    </row>
    <row r="598884" spans="1:1" ht="17.100000000000001" customHeight="1" x14ac:dyDescent="0.3">
      <c r="A598884" s="17"/>
    </row>
    <row r="599176" spans="1:1" ht="17.100000000000001" customHeight="1" x14ac:dyDescent="0.3">
      <c r="A599176" s="17"/>
    </row>
    <row r="599468" spans="1:1" ht="17.100000000000001" customHeight="1" x14ac:dyDescent="0.3">
      <c r="A599468" s="17"/>
    </row>
    <row r="599760" spans="1:1" ht="17.100000000000001" customHeight="1" x14ac:dyDescent="0.3">
      <c r="A599760" s="17"/>
    </row>
    <row r="600052" spans="1:1" ht="17.100000000000001" customHeight="1" x14ac:dyDescent="0.3">
      <c r="A600052" s="17"/>
    </row>
    <row r="600344" spans="1:1" ht="17.100000000000001" customHeight="1" x14ac:dyDescent="0.3">
      <c r="A600344" s="17"/>
    </row>
    <row r="600636" spans="1:1" ht="17.100000000000001" customHeight="1" x14ac:dyDescent="0.3">
      <c r="A600636" s="17"/>
    </row>
    <row r="600928" spans="1:1" ht="17.100000000000001" customHeight="1" x14ac:dyDescent="0.3">
      <c r="A600928" s="17"/>
    </row>
    <row r="601220" spans="1:1" ht="17.100000000000001" customHeight="1" x14ac:dyDescent="0.3">
      <c r="A601220" s="17"/>
    </row>
    <row r="601512" spans="1:1" ht="17.100000000000001" customHeight="1" x14ac:dyDescent="0.3">
      <c r="A601512" s="17"/>
    </row>
    <row r="601804" spans="1:1" ht="17.100000000000001" customHeight="1" x14ac:dyDescent="0.3">
      <c r="A601804" s="17"/>
    </row>
    <row r="602096" spans="1:1" ht="17.100000000000001" customHeight="1" x14ac:dyDescent="0.3">
      <c r="A602096" s="17"/>
    </row>
    <row r="602388" spans="1:1" ht="17.100000000000001" customHeight="1" x14ac:dyDescent="0.3">
      <c r="A602388" s="17"/>
    </row>
    <row r="602680" spans="1:1" ht="17.100000000000001" customHeight="1" x14ac:dyDescent="0.3">
      <c r="A602680" s="17"/>
    </row>
    <row r="602972" spans="1:1" ht="17.100000000000001" customHeight="1" x14ac:dyDescent="0.3">
      <c r="A602972" s="17"/>
    </row>
    <row r="603264" spans="1:1" ht="17.100000000000001" customHeight="1" x14ac:dyDescent="0.3">
      <c r="A603264" s="17"/>
    </row>
    <row r="603556" spans="1:1" ht="17.100000000000001" customHeight="1" x14ac:dyDescent="0.3">
      <c r="A603556" s="17"/>
    </row>
    <row r="603848" spans="1:1" ht="17.100000000000001" customHeight="1" x14ac:dyDescent="0.3">
      <c r="A603848" s="17"/>
    </row>
    <row r="604140" spans="1:1" ht="17.100000000000001" customHeight="1" x14ac:dyDescent="0.3">
      <c r="A604140" s="17"/>
    </row>
    <row r="604432" spans="1:1" ht="17.100000000000001" customHeight="1" x14ac:dyDescent="0.3">
      <c r="A604432" s="17"/>
    </row>
    <row r="604724" spans="1:1" ht="17.100000000000001" customHeight="1" x14ac:dyDescent="0.3">
      <c r="A604724" s="17"/>
    </row>
    <row r="605016" spans="1:1" ht="17.100000000000001" customHeight="1" x14ac:dyDescent="0.3">
      <c r="A605016" s="17"/>
    </row>
    <row r="605308" spans="1:1" ht="17.100000000000001" customHeight="1" x14ac:dyDescent="0.3">
      <c r="A605308" s="17"/>
    </row>
    <row r="605600" spans="1:1" ht="17.100000000000001" customHeight="1" x14ac:dyDescent="0.3">
      <c r="A605600" s="17"/>
    </row>
    <row r="605892" spans="1:1" ht="17.100000000000001" customHeight="1" x14ac:dyDescent="0.3">
      <c r="A605892" s="17"/>
    </row>
    <row r="606184" spans="1:1" ht="17.100000000000001" customHeight="1" x14ac:dyDescent="0.3">
      <c r="A606184" s="17"/>
    </row>
    <row r="606476" spans="1:1" ht="17.100000000000001" customHeight="1" x14ac:dyDescent="0.3">
      <c r="A606476" s="17"/>
    </row>
    <row r="606768" spans="1:1" ht="17.100000000000001" customHeight="1" x14ac:dyDescent="0.3">
      <c r="A606768" s="17"/>
    </row>
    <row r="607060" spans="1:1" ht="17.100000000000001" customHeight="1" x14ac:dyDescent="0.3">
      <c r="A607060" s="17"/>
    </row>
    <row r="607352" spans="1:1" ht="17.100000000000001" customHeight="1" x14ac:dyDescent="0.3">
      <c r="A607352" s="17"/>
    </row>
    <row r="607644" spans="1:1" ht="17.100000000000001" customHeight="1" x14ac:dyDescent="0.3">
      <c r="A607644" s="17"/>
    </row>
    <row r="607936" spans="1:1" ht="17.100000000000001" customHeight="1" x14ac:dyDescent="0.3">
      <c r="A607936" s="17"/>
    </row>
    <row r="608228" spans="1:1" ht="17.100000000000001" customHeight="1" x14ac:dyDescent="0.3">
      <c r="A608228" s="17"/>
    </row>
    <row r="608520" spans="1:1" ht="17.100000000000001" customHeight="1" x14ac:dyDescent="0.3">
      <c r="A608520" s="17"/>
    </row>
    <row r="608812" spans="1:1" ht="17.100000000000001" customHeight="1" x14ac:dyDescent="0.3">
      <c r="A608812" s="17"/>
    </row>
    <row r="609104" spans="1:1" ht="17.100000000000001" customHeight="1" x14ac:dyDescent="0.3">
      <c r="A609104" s="17"/>
    </row>
    <row r="609396" spans="1:1" ht="17.100000000000001" customHeight="1" x14ac:dyDescent="0.3">
      <c r="A609396" s="17"/>
    </row>
    <row r="609688" spans="1:1" ht="17.100000000000001" customHeight="1" x14ac:dyDescent="0.3">
      <c r="A609688" s="17"/>
    </row>
    <row r="609980" spans="1:1" ht="17.100000000000001" customHeight="1" x14ac:dyDescent="0.3">
      <c r="A609980" s="17"/>
    </row>
    <row r="610272" spans="1:1" ht="17.100000000000001" customHeight="1" x14ac:dyDescent="0.3">
      <c r="A610272" s="17"/>
    </row>
    <row r="610564" spans="1:1" ht="17.100000000000001" customHeight="1" x14ac:dyDescent="0.3">
      <c r="A610564" s="17"/>
    </row>
    <row r="610856" spans="1:1" ht="17.100000000000001" customHeight="1" x14ac:dyDescent="0.3">
      <c r="A610856" s="17"/>
    </row>
    <row r="611148" spans="1:1" ht="17.100000000000001" customHeight="1" x14ac:dyDescent="0.3">
      <c r="A611148" s="17"/>
    </row>
    <row r="611440" spans="1:1" ht="17.100000000000001" customHeight="1" x14ac:dyDescent="0.3">
      <c r="A611440" s="17"/>
    </row>
    <row r="611732" spans="1:1" ht="17.100000000000001" customHeight="1" x14ac:dyDescent="0.3">
      <c r="A611732" s="17"/>
    </row>
    <row r="612024" spans="1:1" ht="17.100000000000001" customHeight="1" x14ac:dyDescent="0.3">
      <c r="A612024" s="17"/>
    </row>
    <row r="612316" spans="1:1" ht="17.100000000000001" customHeight="1" x14ac:dyDescent="0.3">
      <c r="A612316" s="17"/>
    </row>
    <row r="612608" spans="1:1" ht="17.100000000000001" customHeight="1" x14ac:dyDescent="0.3">
      <c r="A612608" s="17"/>
    </row>
    <row r="612900" spans="1:1" ht="17.100000000000001" customHeight="1" x14ac:dyDescent="0.3">
      <c r="A612900" s="17"/>
    </row>
    <row r="613192" spans="1:1" ht="17.100000000000001" customHeight="1" x14ac:dyDescent="0.3">
      <c r="A613192" s="17"/>
    </row>
    <row r="613484" spans="1:1" ht="17.100000000000001" customHeight="1" x14ac:dyDescent="0.3">
      <c r="A613484" s="17"/>
    </row>
    <row r="613776" spans="1:1" ht="17.100000000000001" customHeight="1" x14ac:dyDescent="0.3">
      <c r="A613776" s="17"/>
    </row>
    <row r="614068" spans="1:1" ht="17.100000000000001" customHeight="1" x14ac:dyDescent="0.3">
      <c r="A614068" s="17"/>
    </row>
    <row r="614360" spans="1:1" ht="17.100000000000001" customHeight="1" x14ac:dyDescent="0.3">
      <c r="A614360" s="17"/>
    </row>
    <row r="614652" spans="1:1" ht="17.100000000000001" customHeight="1" x14ac:dyDescent="0.3">
      <c r="A614652" s="17"/>
    </row>
    <row r="614944" spans="1:1" ht="17.100000000000001" customHeight="1" x14ac:dyDescent="0.3">
      <c r="A614944" s="17"/>
    </row>
    <row r="615236" spans="1:1" ht="17.100000000000001" customHeight="1" x14ac:dyDescent="0.3">
      <c r="A615236" s="17"/>
    </row>
    <row r="615528" spans="1:1" ht="17.100000000000001" customHeight="1" x14ac:dyDescent="0.3">
      <c r="A615528" s="17"/>
    </row>
    <row r="615820" spans="1:1" ht="17.100000000000001" customHeight="1" x14ac:dyDescent="0.3">
      <c r="A615820" s="17"/>
    </row>
    <row r="616112" spans="1:1" ht="17.100000000000001" customHeight="1" x14ac:dyDescent="0.3">
      <c r="A616112" s="17"/>
    </row>
    <row r="616404" spans="1:1" ht="17.100000000000001" customHeight="1" x14ac:dyDescent="0.3">
      <c r="A616404" s="17"/>
    </row>
    <row r="616696" spans="1:1" ht="17.100000000000001" customHeight="1" x14ac:dyDescent="0.3">
      <c r="A616696" s="17"/>
    </row>
    <row r="616988" spans="1:1" ht="17.100000000000001" customHeight="1" x14ac:dyDescent="0.3">
      <c r="A616988" s="17"/>
    </row>
    <row r="617280" spans="1:1" ht="17.100000000000001" customHeight="1" x14ac:dyDescent="0.3">
      <c r="A617280" s="17"/>
    </row>
    <row r="617572" spans="1:1" ht="17.100000000000001" customHeight="1" x14ac:dyDescent="0.3">
      <c r="A617572" s="17"/>
    </row>
    <row r="617864" spans="1:1" ht="17.100000000000001" customHeight="1" x14ac:dyDescent="0.3">
      <c r="A617864" s="17"/>
    </row>
    <row r="618156" spans="1:1" ht="17.100000000000001" customHeight="1" x14ac:dyDescent="0.3">
      <c r="A618156" s="17"/>
    </row>
    <row r="618448" spans="1:1" ht="17.100000000000001" customHeight="1" x14ac:dyDescent="0.3">
      <c r="A618448" s="17"/>
    </row>
    <row r="618740" spans="1:1" ht="17.100000000000001" customHeight="1" x14ac:dyDescent="0.3">
      <c r="A618740" s="17"/>
    </row>
    <row r="619032" spans="1:1" ht="17.100000000000001" customHeight="1" x14ac:dyDescent="0.3">
      <c r="A619032" s="17"/>
    </row>
    <row r="619324" spans="1:1" ht="17.100000000000001" customHeight="1" x14ac:dyDescent="0.3">
      <c r="A619324" s="17"/>
    </row>
    <row r="619616" spans="1:1" ht="17.100000000000001" customHeight="1" x14ac:dyDescent="0.3">
      <c r="A619616" s="17"/>
    </row>
    <row r="619908" spans="1:1" ht="17.100000000000001" customHeight="1" x14ac:dyDescent="0.3">
      <c r="A619908" s="17"/>
    </row>
    <row r="620200" spans="1:1" ht="17.100000000000001" customHeight="1" x14ac:dyDescent="0.3">
      <c r="A620200" s="17"/>
    </row>
    <row r="620492" spans="1:1" ht="17.100000000000001" customHeight="1" x14ac:dyDescent="0.3">
      <c r="A620492" s="17"/>
    </row>
    <row r="620784" spans="1:1" ht="17.100000000000001" customHeight="1" x14ac:dyDescent="0.3">
      <c r="A620784" s="17"/>
    </row>
    <row r="621076" spans="1:1" ht="17.100000000000001" customHeight="1" x14ac:dyDescent="0.3">
      <c r="A621076" s="17"/>
    </row>
    <row r="621368" spans="1:1" ht="17.100000000000001" customHeight="1" x14ac:dyDescent="0.3">
      <c r="A621368" s="17"/>
    </row>
    <row r="621660" spans="1:1" ht="17.100000000000001" customHeight="1" x14ac:dyDescent="0.3">
      <c r="A621660" s="17"/>
    </row>
    <row r="621952" spans="1:1" ht="17.100000000000001" customHeight="1" x14ac:dyDescent="0.3">
      <c r="A621952" s="17"/>
    </row>
    <row r="622244" spans="1:1" ht="17.100000000000001" customHeight="1" x14ac:dyDescent="0.3">
      <c r="A622244" s="17"/>
    </row>
    <row r="622536" spans="1:1" ht="17.100000000000001" customHeight="1" x14ac:dyDescent="0.3">
      <c r="A622536" s="17"/>
    </row>
    <row r="622828" spans="1:1" ht="17.100000000000001" customHeight="1" x14ac:dyDescent="0.3">
      <c r="A622828" s="17"/>
    </row>
    <row r="623120" spans="1:1" ht="17.100000000000001" customHeight="1" x14ac:dyDescent="0.3">
      <c r="A623120" s="17"/>
    </row>
    <row r="623412" spans="1:1" ht="17.100000000000001" customHeight="1" x14ac:dyDescent="0.3">
      <c r="A623412" s="17"/>
    </row>
    <row r="623704" spans="1:1" ht="17.100000000000001" customHeight="1" x14ac:dyDescent="0.3">
      <c r="A623704" s="17"/>
    </row>
    <row r="623996" spans="1:1" ht="17.100000000000001" customHeight="1" x14ac:dyDescent="0.3">
      <c r="A623996" s="17"/>
    </row>
    <row r="624288" spans="1:1" ht="17.100000000000001" customHeight="1" x14ac:dyDescent="0.3">
      <c r="A624288" s="17"/>
    </row>
    <row r="624580" spans="1:1" ht="17.100000000000001" customHeight="1" x14ac:dyDescent="0.3">
      <c r="A624580" s="17"/>
    </row>
    <row r="624872" spans="1:1" ht="17.100000000000001" customHeight="1" x14ac:dyDescent="0.3">
      <c r="A624872" s="17"/>
    </row>
    <row r="625164" spans="1:1" ht="17.100000000000001" customHeight="1" x14ac:dyDescent="0.3">
      <c r="A625164" s="17"/>
    </row>
    <row r="625456" spans="1:1" ht="17.100000000000001" customHeight="1" x14ac:dyDescent="0.3">
      <c r="A625456" s="17"/>
    </row>
    <row r="625748" spans="1:1" ht="17.100000000000001" customHeight="1" x14ac:dyDescent="0.3">
      <c r="A625748" s="17"/>
    </row>
    <row r="626040" spans="1:1" ht="17.100000000000001" customHeight="1" x14ac:dyDescent="0.3">
      <c r="A626040" s="17"/>
    </row>
    <row r="626332" spans="1:1" ht="17.100000000000001" customHeight="1" x14ac:dyDescent="0.3">
      <c r="A626332" s="17"/>
    </row>
    <row r="626624" spans="1:1" ht="17.100000000000001" customHeight="1" x14ac:dyDescent="0.3">
      <c r="A626624" s="17"/>
    </row>
    <row r="626916" spans="1:1" ht="17.100000000000001" customHeight="1" x14ac:dyDescent="0.3">
      <c r="A626916" s="17"/>
    </row>
    <row r="627208" spans="1:1" ht="17.100000000000001" customHeight="1" x14ac:dyDescent="0.3">
      <c r="A627208" s="17"/>
    </row>
    <row r="627500" spans="1:1" ht="17.100000000000001" customHeight="1" x14ac:dyDescent="0.3">
      <c r="A627500" s="17"/>
    </row>
    <row r="627792" spans="1:1" ht="17.100000000000001" customHeight="1" x14ac:dyDescent="0.3">
      <c r="A627792" s="17"/>
    </row>
    <row r="628084" spans="1:1" ht="17.100000000000001" customHeight="1" x14ac:dyDescent="0.3">
      <c r="A628084" s="17"/>
    </row>
    <row r="628376" spans="1:1" ht="17.100000000000001" customHeight="1" x14ac:dyDescent="0.3">
      <c r="A628376" s="17"/>
    </row>
    <row r="628668" spans="1:1" ht="17.100000000000001" customHeight="1" x14ac:dyDescent="0.3">
      <c r="A628668" s="17"/>
    </row>
    <row r="628960" spans="1:1" ht="17.100000000000001" customHeight="1" x14ac:dyDescent="0.3">
      <c r="A628960" s="17"/>
    </row>
    <row r="629252" spans="1:1" ht="17.100000000000001" customHeight="1" x14ac:dyDescent="0.3">
      <c r="A629252" s="17"/>
    </row>
    <row r="629544" spans="1:1" ht="17.100000000000001" customHeight="1" x14ac:dyDescent="0.3">
      <c r="A629544" s="17"/>
    </row>
    <row r="629836" spans="1:1" ht="17.100000000000001" customHeight="1" x14ac:dyDescent="0.3">
      <c r="A629836" s="17"/>
    </row>
    <row r="630128" spans="1:1" ht="17.100000000000001" customHeight="1" x14ac:dyDescent="0.3">
      <c r="A630128" s="17"/>
    </row>
    <row r="630420" spans="1:1" ht="17.100000000000001" customHeight="1" x14ac:dyDescent="0.3">
      <c r="A630420" s="17"/>
    </row>
    <row r="630712" spans="1:1" ht="17.100000000000001" customHeight="1" x14ac:dyDescent="0.3">
      <c r="A630712" s="17"/>
    </row>
    <row r="631004" spans="1:1" ht="17.100000000000001" customHeight="1" x14ac:dyDescent="0.3">
      <c r="A631004" s="17"/>
    </row>
    <row r="631296" spans="1:1" ht="17.100000000000001" customHeight="1" x14ac:dyDescent="0.3">
      <c r="A631296" s="17"/>
    </row>
    <row r="631588" spans="1:1" ht="17.100000000000001" customHeight="1" x14ac:dyDescent="0.3">
      <c r="A631588" s="17"/>
    </row>
    <row r="631880" spans="1:1" ht="17.100000000000001" customHeight="1" x14ac:dyDescent="0.3">
      <c r="A631880" s="17"/>
    </row>
    <row r="632172" spans="1:1" ht="17.100000000000001" customHeight="1" x14ac:dyDescent="0.3">
      <c r="A632172" s="17"/>
    </row>
    <row r="632464" spans="1:1" ht="17.100000000000001" customHeight="1" x14ac:dyDescent="0.3">
      <c r="A632464" s="17"/>
    </row>
    <row r="632756" spans="1:1" ht="17.100000000000001" customHeight="1" x14ac:dyDescent="0.3">
      <c r="A632756" s="17"/>
    </row>
    <row r="633048" spans="1:1" ht="17.100000000000001" customHeight="1" x14ac:dyDescent="0.3">
      <c r="A633048" s="17"/>
    </row>
    <row r="633340" spans="1:1" ht="17.100000000000001" customHeight="1" x14ac:dyDescent="0.3">
      <c r="A633340" s="17"/>
    </row>
    <row r="633632" spans="1:1" ht="17.100000000000001" customHeight="1" x14ac:dyDescent="0.3">
      <c r="A633632" s="17"/>
    </row>
    <row r="633924" spans="1:1" ht="17.100000000000001" customHeight="1" x14ac:dyDescent="0.3">
      <c r="A633924" s="17"/>
    </row>
    <row r="634216" spans="1:1" ht="17.100000000000001" customHeight="1" x14ac:dyDescent="0.3">
      <c r="A634216" s="17"/>
    </row>
    <row r="634508" spans="1:1" ht="17.100000000000001" customHeight="1" x14ac:dyDescent="0.3">
      <c r="A634508" s="17"/>
    </row>
    <row r="634800" spans="1:1" ht="17.100000000000001" customHeight="1" x14ac:dyDescent="0.3">
      <c r="A634800" s="17"/>
    </row>
    <row r="635092" spans="1:1" ht="17.100000000000001" customHeight="1" x14ac:dyDescent="0.3">
      <c r="A635092" s="17"/>
    </row>
    <row r="635384" spans="1:1" ht="17.100000000000001" customHeight="1" x14ac:dyDescent="0.3">
      <c r="A635384" s="17"/>
    </row>
    <row r="635676" spans="1:1" ht="17.100000000000001" customHeight="1" x14ac:dyDescent="0.3">
      <c r="A635676" s="17"/>
    </row>
    <row r="635968" spans="1:1" ht="17.100000000000001" customHeight="1" x14ac:dyDescent="0.3">
      <c r="A635968" s="17"/>
    </row>
    <row r="636260" spans="1:1" ht="17.100000000000001" customHeight="1" x14ac:dyDescent="0.3">
      <c r="A636260" s="17"/>
    </row>
    <row r="636552" spans="1:1" ht="17.100000000000001" customHeight="1" x14ac:dyDescent="0.3">
      <c r="A636552" s="17"/>
    </row>
    <row r="636844" spans="1:1" ht="17.100000000000001" customHeight="1" x14ac:dyDescent="0.3">
      <c r="A636844" s="17"/>
    </row>
    <row r="637136" spans="1:1" ht="17.100000000000001" customHeight="1" x14ac:dyDescent="0.3">
      <c r="A637136" s="17"/>
    </row>
    <row r="637428" spans="1:1" ht="17.100000000000001" customHeight="1" x14ac:dyDescent="0.3">
      <c r="A637428" s="17"/>
    </row>
    <row r="637720" spans="1:1" ht="17.100000000000001" customHeight="1" x14ac:dyDescent="0.3">
      <c r="A637720" s="17"/>
    </row>
    <row r="638012" spans="1:1" ht="17.100000000000001" customHeight="1" x14ac:dyDescent="0.3">
      <c r="A638012" s="17"/>
    </row>
    <row r="638304" spans="1:1" ht="17.100000000000001" customHeight="1" x14ac:dyDescent="0.3">
      <c r="A638304" s="17"/>
    </row>
    <row r="638596" spans="1:1" ht="17.100000000000001" customHeight="1" x14ac:dyDescent="0.3">
      <c r="A638596" s="17"/>
    </row>
    <row r="638888" spans="1:1" ht="17.100000000000001" customHeight="1" x14ac:dyDescent="0.3">
      <c r="A638888" s="17"/>
    </row>
    <row r="639180" spans="1:1" ht="17.100000000000001" customHeight="1" x14ac:dyDescent="0.3">
      <c r="A639180" s="17"/>
    </row>
    <row r="639472" spans="1:1" ht="17.100000000000001" customHeight="1" x14ac:dyDescent="0.3">
      <c r="A639472" s="17"/>
    </row>
    <row r="639764" spans="1:1" ht="17.100000000000001" customHeight="1" x14ac:dyDescent="0.3">
      <c r="A639764" s="17"/>
    </row>
    <row r="640056" spans="1:1" ht="17.100000000000001" customHeight="1" x14ac:dyDescent="0.3">
      <c r="A640056" s="17"/>
    </row>
    <row r="640348" spans="1:1" ht="17.100000000000001" customHeight="1" x14ac:dyDescent="0.3">
      <c r="A640348" s="17"/>
    </row>
    <row r="640640" spans="1:1" ht="17.100000000000001" customHeight="1" x14ac:dyDescent="0.3">
      <c r="A640640" s="17"/>
    </row>
    <row r="640932" spans="1:1" ht="17.100000000000001" customHeight="1" x14ac:dyDescent="0.3">
      <c r="A640932" s="17"/>
    </row>
    <row r="641224" spans="1:1" ht="17.100000000000001" customHeight="1" x14ac:dyDescent="0.3">
      <c r="A641224" s="17"/>
    </row>
    <row r="641516" spans="1:1" ht="17.100000000000001" customHeight="1" x14ac:dyDescent="0.3">
      <c r="A641516" s="17"/>
    </row>
    <row r="641808" spans="1:1" ht="17.100000000000001" customHeight="1" x14ac:dyDescent="0.3">
      <c r="A641808" s="17"/>
    </row>
    <row r="642100" spans="1:1" ht="17.100000000000001" customHeight="1" x14ac:dyDescent="0.3">
      <c r="A642100" s="17"/>
    </row>
    <row r="642392" spans="1:1" ht="17.100000000000001" customHeight="1" x14ac:dyDescent="0.3">
      <c r="A642392" s="17"/>
    </row>
    <row r="642684" spans="1:1" ht="17.100000000000001" customHeight="1" x14ac:dyDescent="0.3">
      <c r="A642684" s="17"/>
    </row>
    <row r="642976" spans="1:1" ht="17.100000000000001" customHeight="1" x14ac:dyDescent="0.3">
      <c r="A642976" s="17"/>
    </row>
    <row r="643268" spans="1:1" ht="17.100000000000001" customHeight="1" x14ac:dyDescent="0.3">
      <c r="A643268" s="17"/>
    </row>
    <row r="643560" spans="1:1" ht="17.100000000000001" customHeight="1" x14ac:dyDescent="0.3">
      <c r="A643560" s="17"/>
    </row>
    <row r="643852" spans="1:1" ht="17.100000000000001" customHeight="1" x14ac:dyDescent="0.3">
      <c r="A643852" s="17"/>
    </row>
    <row r="644144" spans="1:1" ht="17.100000000000001" customHeight="1" x14ac:dyDescent="0.3">
      <c r="A644144" s="17"/>
    </row>
    <row r="644436" spans="1:1" ht="17.100000000000001" customHeight="1" x14ac:dyDescent="0.3">
      <c r="A644436" s="17"/>
    </row>
    <row r="644728" spans="1:1" ht="17.100000000000001" customHeight="1" x14ac:dyDescent="0.3">
      <c r="A644728" s="17"/>
    </row>
    <row r="645020" spans="1:1" ht="17.100000000000001" customHeight="1" x14ac:dyDescent="0.3">
      <c r="A645020" s="17"/>
    </row>
    <row r="645312" spans="1:1" ht="17.100000000000001" customHeight="1" x14ac:dyDescent="0.3">
      <c r="A645312" s="17"/>
    </row>
    <row r="645604" spans="1:1" ht="17.100000000000001" customHeight="1" x14ac:dyDescent="0.3">
      <c r="A645604" s="17"/>
    </row>
    <row r="645896" spans="1:1" ht="17.100000000000001" customHeight="1" x14ac:dyDescent="0.3">
      <c r="A645896" s="17"/>
    </row>
    <row r="646188" spans="1:1" ht="17.100000000000001" customHeight="1" x14ac:dyDescent="0.3">
      <c r="A646188" s="17"/>
    </row>
    <row r="646480" spans="1:1" ht="17.100000000000001" customHeight="1" x14ac:dyDescent="0.3">
      <c r="A646480" s="17"/>
    </row>
    <row r="646772" spans="1:1" ht="17.100000000000001" customHeight="1" x14ac:dyDescent="0.3">
      <c r="A646772" s="17"/>
    </row>
    <row r="647064" spans="1:1" ht="17.100000000000001" customHeight="1" x14ac:dyDescent="0.3">
      <c r="A647064" s="17"/>
    </row>
    <row r="647356" spans="1:1" ht="17.100000000000001" customHeight="1" x14ac:dyDescent="0.3">
      <c r="A647356" s="17"/>
    </row>
    <row r="647648" spans="1:1" ht="17.100000000000001" customHeight="1" x14ac:dyDescent="0.3">
      <c r="A647648" s="17"/>
    </row>
    <row r="647940" spans="1:1" ht="17.100000000000001" customHeight="1" x14ac:dyDescent="0.3">
      <c r="A647940" s="17"/>
    </row>
    <row r="648232" spans="1:1" ht="17.100000000000001" customHeight="1" x14ac:dyDescent="0.3">
      <c r="A648232" s="17"/>
    </row>
    <row r="648524" spans="1:1" ht="17.100000000000001" customHeight="1" x14ac:dyDescent="0.3">
      <c r="A648524" s="17"/>
    </row>
    <row r="648816" spans="1:1" ht="17.100000000000001" customHeight="1" x14ac:dyDescent="0.3">
      <c r="A648816" s="17"/>
    </row>
    <row r="649108" spans="1:1" ht="17.100000000000001" customHeight="1" x14ac:dyDescent="0.3">
      <c r="A649108" s="17"/>
    </row>
    <row r="649400" spans="1:1" ht="17.100000000000001" customHeight="1" x14ac:dyDescent="0.3">
      <c r="A649400" s="17"/>
    </row>
    <row r="649692" spans="1:1" ht="17.100000000000001" customHeight="1" x14ac:dyDescent="0.3">
      <c r="A649692" s="17"/>
    </row>
    <row r="649984" spans="1:1" ht="17.100000000000001" customHeight="1" x14ac:dyDescent="0.3">
      <c r="A649984" s="17"/>
    </row>
    <row r="650276" spans="1:1" ht="17.100000000000001" customHeight="1" x14ac:dyDescent="0.3">
      <c r="A650276" s="17"/>
    </row>
    <row r="650568" spans="1:1" ht="17.100000000000001" customHeight="1" x14ac:dyDescent="0.3">
      <c r="A650568" s="17"/>
    </row>
    <row r="650860" spans="1:1" ht="17.100000000000001" customHeight="1" x14ac:dyDescent="0.3">
      <c r="A650860" s="17"/>
    </row>
    <row r="651152" spans="1:1" ht="17.100000000000001" customHeight="1" x14ac:dyDescent="0.3">
      <c r="A651152" s="17"/>
    </row>
    <row r="651444" spans="1:1" ht="17.100000000000001" customHeight="1" x14ac:dyDescent="0.3">
      <c r="A651444" s="17"/>
    </row>
    <row r="651736" spans="1:1" ht="17.100000000000001" customHeight="1" x14ac:dyDescent="0.3">
      <c r="A651736" s="17"/>
    </row>
    <row r="652028" spans="1:1" ht="17.100000000000001" customHeight="1" x14ac:dyDescent="0.3">
      <c r="A652028" s="17"/>
    </row>
    <row r="652320" spans="1:1" ht="17.100000000000001" customHeight="1" x14ac:dyDescent="0.3">
      <c r="A652320" s="17"/>
    </row>
    <row r="652612" spans="1:1" ht="17.100000000000001" customHeight="1" x14ac:dyDescent="0.3">
      <c r="A652612" s="17"/>
    </row>
    <row r="652904" spans="1:1" ht="17.100000000000001" customHeight="1" x14ac:dyDescent="0.3">
      <c r="A652904" s="17"/>
    </row>
    <row r="653196" spans="1:1" ht="17.100000000000001" customHeight="1" x14ac:dyDescent="0.3">
      <c r="A653196" s="17"/>
    </row>
    <row r="653488" spans="1:1" ht="17.100000000000001" customHeight="1" x14ac:dyDescent="0.3">
      <c r="A653488" s="17"/>
    </row>
    <row r="653780" spans="1:1" ht="17.100000000000001" customHeight="1" x14ac:dyDescent="0.3">
      <c r="A653780" s="17"/>
    </row>
    <row r="654072" spans="1:1" ht="17.100000000000001" customHeight="1" x14ac:dyDescent="0.3">
      <c r="A654072" s="17"/>
    </row>
    <row r="654364" spans="1:1" ht="17.100000000000001" customHeight="1" x14ac:dyDescent="0.3">
      <c r="A654364" s="17"/>
    </row>
    <row r="654656" spans="1:1" ht="17.100000000000001" customHeight="1" x14ac:dyDescent="0.3">
      <c r="A654656" s="17"/>
    </row>
    <row r="654948" spans="1:1" ht="17.100000000000001" customHeight="1" x14ac:dyDescent="0.3">
      <c r="A654948" s="17"/>
    </row>
    <row r="655240" spans="1:1" ht="17.100000000000001" customHeight="1" x14ac:dyDescent="0.3">
      <c r="A655240" s="17"/>
    </row>
    <row r="655532" spans="1:1" ht="17.100000000000001" customHeight="1" x14ac:dyDescent="0.3">
      <c r="A655532" s="17"/>
    </row>
    <row r="655824" spans="1:1" ht="17.100000000000001" customHeight="1" x14ac:dyDescent="0.3">
      <c r="A655824" s="17"/>
    </row>
    <row r="656116" spans="1:1" ht="17.100000000000001" customHeight="1" x14ac:dyDescent="0.3">
      <c r="A656116" s="17"/>
    </row>
    <row r="656408" spans="1:1" ht="17.100000000000001" customHeight="1" x14ac:dyDescent="0.3">
      <c r="A656408" s="17"/>
    </row>
    <row r="656700" spans="1:1" ht="17.100000000000001" customHeight="1" x14ac:dyDescent="0.3">
      <c r="A656700" s="17"/>
    </row>
    <row r="656992" spans="1:1" ht="17.100000000000001" customHeight="1" x14ac:dyDescent="0.3">
      <c r="A656992" s="17"/>
    </row>
    <row r="657284" spans="1:1" ht="17.100000000000001" customHeight="1" x14ac:dyDescent="0.3">
      <c r="A657284" s="17"/>
    </row>
    <row r="657576" spans="1:1" ht="17.100000000000001" customHeight="1" x14ac:dyDescent="0.3">
      <c r="A657576" s="17"/>
    </row>
    <row r="657868" spans="1:1" ht="17.100000000000001" customHeight="1" x14ac:dyDescent="0.3">
      <c r="A657868" s="17"/>
    </row>
    <row r="658160" spans="1:1" ht="17.100000000000001" customHeight="1" x14ac:dyDescent="0.3">
      <c r="A658160" s="17"/>
    </row>
    <row r="658452" spans="1:1" ht="17.100000000000001" customHeight="1" x14ac:dyDescent="0.3">
      <c r="A658452" s="17"/>
    </row>
    <row r="658744" spans="1:1" ht="17.100000000000001" customHeight="1" x14ac:dyDescent="0.3">
      <c r="A658744" s="17"/>
    </row>
    <row r="659036" spans="1:1" ht="17.100000000000001" customHeight="1" x14ac:dyDescent="0.3">
      <c r="A659036" s="17"/>
    </row>
    <row r="659328" spans="1:1" ht="17.100000000000001" customHeight="1" x14ac:dyDescent="0.3">
      <c r="A659328" s="17"/>
    </row>
    <row r="659620" spans="1:1" ht="17.100000000000001" customHeight="1" x14ac:dyDescent="0.3">
      <c r="A659620" s="17"/>
    </row>
    <row r="659912" spans="1:1" ht="17.100000000000001" customHeight="1" x14ac:dyDescent="0.3">
      <c r="A659912" s="17"/>
    </row>
    <row r="660204" spans="1:1" ht="17.100000000000001" customHeight="1" x14ac:dyDescent="0.3">
      <c r="A660204" s="17"/>
    </row>
    <row r="660496" spans="1:1" ht="17.100000000000001" customHeight="1" x14ac:dyDescent="0.3">
      <c r="A660496" s="17"/>
    </row>
    <row r="660788" spans="1:1" ht="17.100000000000001" customHeight="1" x14ac:dyDescent="0.3">
      <c r="A660788" s="17"/>
    </row>
    <row r="661080" spans="1:1" ht="17.100000000000001" customHeight="1" x14ac:dyDescent="0.3">
      <c r="A661080" s="17"/>
    </row>
    <row r="661372" spans="1:1" ht="17.100000000000001" customHeight="1" x14ac:dyDescent="0.3">
      <c r="A661372" s="17"/>
    </row>
    <row r="661664" spans="1:1" ht="17.100000000000001" customHeight="1" x14ac:dyDescent="0.3">
      <c r="A661664" s="17"/>
    </row>
    <row r="661956" spans="1:1" ht="17.100000000000001" customHeight="1" x14ac:dyDescent="0.3">
      <c r="A661956" s="17"/>
    </row>
    <row r="662248" spans="1:1" ht="17.100000000000001" customHeight="1" x14ac:dyDescent="0.3">
      <c r="A662248" s="17"/>
    </row>
    <row r="662540" spans="1:1" ht="17.100000000000001" customHeight="1" x14ac:dyDescent="0.3">
      <c r="A662540" s="17"/>
    </row>
    <row r="662832" spans="1:1" ht="17.100000000000001" customHeight="1" x14ac:dyDescent="0.3">
      <c r="A662832" s="17"/>
    </row>
    <row r="663124" spans="1:1" ht="17.100000000000001" customHeight="1" x14ac:dyDescent="0.3">
      <c r="A663124" s="17"/>
    </row>
    <row r="663416" spans="1:1" ht="17.100000000000001" customHeight="1" x14ac:dyDescent="0.3">
      <c r="A663416" s="17"/>
    </row>
    <row r="663708" spans="1:1" ht="17.100000000000001" customHeight="1" x14ac:dyDescent="0.3">
      <c r="A663708" s="17"/>
    </row>
    <row r="664000" spans="1:1" ht="17.100000000000001" customHeight="1" x14ac:dyDescent="0.3">
      <c r="A664000" s="17"/>
    </row>
    <row r="664292" spans="1:1" ht="17.100000000000001" customHeight="1" x14ac:dyDescent="0.3">
      <c r="A664292" s="17"/>
    </row>
    <row r="664584" spans="1:1" ht="17.100000000000001" customHeight="1" x14ac:dyDescent="0.3">
      <c r="A664584" s="17"/>
    </row>
    <row r="664876" spans="1:1" ht="17.100000000000001" customHeight="1" x14ac:dyDescent="0.3">
      <c r="A664876" s="17"/>
    </row>
    <row r="665168" spans="1:1" ht="17.100000000000001" customHeight="1" x14ac:dyDescent="0.3">
      <c r="A665168" s="17"/>
    </row>
    <row r="665460" spans="1:1" ht="17.100000000000001" customHeight="1" x14ac:dyDescent="0.3">
      <c r="A665460" s="17"/>
    </row>
    <row r="665752" spans="1:1" ht="17.100000000000001" customHeight="1" x14ac:dyDescent="0.3">
      <c r="A665752" s="17"/>
    </row>
    <row r="666044" spans="1:1" ht="17.100000000000001" customHeight="1" x14ac:dyDescent="0.3">
      <c r="A666044" s="17"/>
    </row>
    <row r="666336" spans="1:1" ht="17.100000000000001" customHeight="1" x14ac:dyDescent="0.3">
      <c r="A666336" s="17"/>
    </row>
    <row r="666628" spans="1:1" ht="17.100000000000001" customHeight="1" x14ac:dyDescent="0.3">
      <c r="A666628" s="17"/>
    </row>
    <row r="666920" spans="1:1" ht="17.100000000000001" customHeight="1" x14ac:dyDescent="0.3">
      <c r="A666920" s="17"/>
    </row>
    <row r="667212" spans="1:1" ht="17.100000000000001" customHeight="1" x14ac:dyDescent="0.3">
      <c r="A667212" s="17"/>
    </row>
    <row r="667504" spans="1:1" ht="17.100000000000001" customHeight="1" x14ac:dyDescent="0.3">
      <c r="A667504" s="17"/>
    </row>
    <row r="667796" spans="1:1" ht="17.100000000000001" customHeight="1" x14ac:dyDescent="0.3">
      <c r="A667796" s="17"/>
    </row>
    <row r="668088" spans="1:1" ht="17.100000000000001" customHeight="1" x14ac:dyDescent="0.3">
      <c r="A668088" s="17"/>
    </row>
    <row r="668380" spans="1:1" ht="17.100000000000001" customHeight="1" x14ac:dyDescent="0.3">
      <c r="A668380" s="17"/>
    </row>
    <row r="668672" spans="1:1" ht="17.100000000000001" customHeight="1" x14ac:dyDescent="0.3">
      <c r="A668672" s="17"/>
    </row>
    <row r="668964" spans="1:1" ht="17.100000000000001" customHeight="1" x14ac:dyDescent="0.3">
      <c r="A668964" s="17"/>
    </row>
    <row r="669256" spans="1:1" ht="17.100000000000001" customHeight="1" x14ac:dyDescent="0.3">
      <c r="A669256" s="17"/>
    </row>
    <row r="669548" spans="1:1" ht="17.100000000000001" customHeight="1" x14ac:dyDescent="0.3">
      <c r="A669548" s="17"/>
    </row>
    <row r="669840" spans="1:1" ht="17.100000000000001" customHeight="1" x14ac:dyDescent="0.3">
      <c r="A669840" s="17"/>
    </row>
    <row r="670132" spans="1:1" ht="17.100000000000001" customHeight="1" x14ac:dyDescent="0.3">
      <c r="A670132" s="17"/>
    </row>
    <row r="670424" spans="1:1" ht="17.100000000000001" customHeight="1" x14ac:dyDescent="0.3">
      <c r="A670424" s="17"/>
    </row>
    <row r="670716" spans="1:1" ht="17.100000000000001" customHeight="1" x14ac:dyDescent="0.3">
      <c r="A670716" s="17"/>
    </row>
    <row r="671008" spans="1:1" ht="17.100000000000001" customHeight="1" x14ac:dyDescent="0.3">
      <c r="A671008" s="17"/>
    </row>
    <row r="671300" spans="1:1" ht="17.100000000000001" customHeight="1" x14ac:dyDescent="0.3">
      <c r="A671300" s="17"/>
    </row>
    <row r="671592" spans="1:1" ht="17.100000000000001" customHeight="1" x14ac:dyDescent="0.3">
      <c r="A671592" s="17"/>
    </row>
    <row r="671884" spans="1:1" ht="17.100000000000001" customHeight="1" x14ac:dyDescent="0.3">
      <c r="A671884" s="17"/>
    </row>
    <row r="672176" spans="1:1" ht="17.100000000000001" customHeight="1" x14ac:dyDescent="0.3">
      <c r="A672176" s="17"/>
    </row>
    <row r="672468" spans="1:1" ht="17.100000000000001" customHeight="1" x14ac:dyDescent="0.3">
      <c r="A672468" s="17"/>
    </row>
    <row r="672760" spans="1:1" ht="17.100000000000001" customHeight="1" x14ac:dyDescent="0.3">
      <c r="A672760" s="17"/>
    </row>
    <row r="673052" spans="1:1" ht="17.100000000000001" customHeight="1" x14ac:dyDescent="0.3">
      <c r="A673052" s="17"/>
    </row>
    <row r="673344" spans="1:1" ht="17.100000000000001" customHeight="1" x14ac:dyDescent="0.3">
      <c r="A673344" s="17"/>
    </row>
    <row r="673636" spans="1:1" ht="17.100000000000001" customHeight="1" x14ac:dyDescent="0.3">
      <c r="A673636" s="17"/>
    </row>
    <row r="673928" spans="1:1" ht="17.100000000000001" customHeight="1" x14ac:dyDescent="0.3">
      <c r="A673928" s="17"/>
    </row>
    <row r="674220" spans="1:1" ht="17.100000000000001" customHeight="1" x14ac:dyDescent="0.3">
      <c r="A674220" s="17"/>
    </row>
    <row r="674512" spans="1:1" ht="17.100000000000001" customHeight="1" x14ac:dyDescent="0.3">
      <c r="A674512" s="17"/>
    </row>
    <row r="674804" spans="1:1" ht="17.100000000000001" customHeight="1" x14ac:dyDescent="0.3">
      <c r="A674804" s="17"/>
    </row>
    <row r="675096" spans="1:1" ht="17.100000000000001" customHeight="1" x14ac:dyDescent="0.3">
      <c r="A675096" s="17"/>
    </row>
    <row r="675388" spans="1:1" ht="17.100000000000001" customHeight="1" x14ac:dyDescent="0.3">
      <c r="A675388" s="17"/>
    </row>
    <row r="675680" spans="1:1" ht="17.100000000000001" customHeight="1" x14ac:dyDescent="0.3">
      <c r="A675680" s="17"/>
    </row>
    <row r="675972" spans="1:1" ht="17.100000000000001" customHeight="1" x14ac:dyDescent="0.3">
      <c r="A675972" s="17"/>
    </row>
    <row r="676264" spans="1:1" ht="17.100000000000001" customHeight="1" x14ac:dyDescent="0.3">
      <c r="A676264" s="17"/>
    </row>
    <row r="676556" spans="1:1" ht="17.100000000000001" customHeight="1" x14ac:dyDescent="0.3">
      <c r="A676556" s="17"/>
    </row>
    <row r="676848" spans="1:1" ht="17.100000000000001" customHeight="1" x14ac:dyDescent="0.3">
      <c r="A676848" s="17"/>
    </row>
    <row r="677140" spans="1:1" ht="17.100000000000001" customHeight="1" x14ac:dyDescent="0.3">
      <c r="A677140" s="17"/>
    </row>
    <row r="677432" spans="1:1" ht="17.100000000000001" customHeight="1" x14ac:dyDescent="0.3">
      <c r="A677432" s="17"/>
    </row>
    <row r="677724" spans="1:1" ht="17.100000000000001" customHeight="1" x14ac:dyDescent="0.3">
      <c r="A677724" s="17"/>
    </row>
    <row r="678016" spans="1:1" ht="17.100000000000001" customHeight="1" x14ac:dyDescent="0.3">
      <c r="A678016" s="17"/>
    </row>
    <row r="678308" spans="1:1" ht="17.100000000000001" customHeight="1" x14ac:dyDescent="0.3">
      <c r="A678308" s="17"/>
    </row>
    <row r="678600" spans="1:1" ht="17.100000000000001" customHeight="1" x14ac:dyDescent="0.3">
      <c r="A678600" s="17"/>
    </row>
    <row r="678892" spans="1:1" ht="17.100000000000001" customHeight="1" x14ac:dyDescent="0.3">
      <c r="A678892" s="17"/>
    </row>
    <row r="679184" spans="1:1" ht="17.100000000000001" customHeight="1" x14ac:dyDescent="0.3">
      <c r="A679184" s="17"/>
    </row>
    <row r="679476" spans="1:1" ht="17.100000000000001" customHeight="1" x14ac:dyDescent="0.3">
      <c r="A679476" s="17"/>
    </row>
    <row r="679768" spans="1:1" ht="17.100000000000001" customHeight="1" x14ac:dyDescent="0.3">
      <c r="A679768" s="17"/>
    </row>
    <row r="680060" spans="1:1" ht="17.100000000000001" customHeight="1" x14ac:dyDescent="0.3">
      <c r="A680060" s="17"/>
    </row>
    <row r="680352" spans="1:1" ht="17.100000000000001" customHeight="1" x14ac:dyDescent="0.3">
      <c r="A680352" s="17"/>
    </row>
    <row r="680644" spans="1:1" ht="17.100000000000001" customHeight="1" x14ac:dyDescent="0.3">
      <c r="A680644" s="17"/>
    </row>
    <row r="680936" spans="1:1" ht="17.100000000000001" customHeight="1" x14ac:dyDescent="0.3">
      <c r="A680936" s="17"/>
    </row>
    <row r="681228" spans="1:1" ht="17.100000000000001" customHeight="1" x14ac:dyDescent="0.3">
      <c r="A681228" s="17"/>
    </row>
    <row r="681520" spans="1:1" ht="17.100000000000001" customHeight="1" x14ac:dyDescent="0.3">
      <c r="A681520" s="17"/>
    </row>
    <row r="681812" spans="1:1" ht="17.100000000000001" customHeight="1" x14ac:dyDescent="0.3">
      <c r="A681812" s="17"/>
    </row>
    <row r="682104" spans="1:1" ht="17.100000000000001" customHeight="1" x14ac:dyDescent="0.3">
      <c r="A682104" s="17"/>
    </row>
    <row r="682396" spans="1:1" ht="17.100000000000001" customHeight="1" x14ac:dyDescent="0.3">
      <c r="A682396" s="17"/>
    </row>
    <row r="682688" spans="1:1" ht="17.100000000000001" customHeight="1" x14ac:dyDescent="0.3">
      <c r="A682688" s="17"/>
    </row>
    <row r="682980" spans="1:1" ht="17.100000000000001" customHeight="1" x14ac:dyDescent="0.3">
      <c r="A682980" s="17"/>
    </row>
    <row r="683272" spans="1:1" ht="17.100000000000001" customHeight="1" x14ac:dyDescent="0.3">
      <c r="A683272" s="17"/>
    </row>
    <row r="683564" spans="1:1" ht="17.100000000000001" customHeight="1" x14ac:dyDescent="0.3">
      <c r="A683564" s="17"/>
    </row>
    <row r="683856" spans="1:1" ht="17.100000000000001" customHeight="1" x14ac:dyDescent="0.3">
      <c r="A683856" s="17"/>
    </row>
    <row r="684148" spans="1:1" ht="17.100000000000001" customHeight="1" x14ac:dyDescent="0.3">
      <c r="A684148" s="17"/>
    </row>
    <row r="684440" spans="1:1" ht="17.100000000000001" customHeight="1" x14ac:dyDescent="0.3">
      <c r="A684440" s="17"/>
    </row>
    <row r="684732" spans="1:1" ht="17.100000000000001" customHeight="1" x14ac:dyDescent="0.3">
      <c r="A684732" s="17"/>
    </row>
    <row r="685024" spans="1:1" ht="17.100000000000001" customHeight="1" x14ac:dyDescent="0.3">
      <c r="A685024" s="17"/>
    </row>
    <row r="685316" spans="1:1" ht="17.100000000000001" customHeight="1" x14ac:dyDescent="0.3">
      <c r="A685316" s="17"/>
    </row>
    <row r="685608" spans="1:1" ht="17.100000000000001" customHeight="1" x14ac:dyDescent="0.3">
      <c r="A685608" s="17"/>
    </row>
    <row r="685900" spans="1:1" ht="17.100000000000001" customHeight="1" x14ac:dyDescent="0.3">
      <c r="A685900" s="17"/>
    </row>
    <row r="686192" spans="1:1" ht="17.100000000000001" customHeight="1" x14ac:dyDescent="0.3">
      <c r="A686192" s="17"/>
    </row>
    <row r="686484" spans="1:1" ht="17.100000000000001" customHeight="1" x14ac:dyDescent="0.3">
      <c r="A686484" s="17"/>
    </row>
    <row r="686776" spans="1:1" ht="17.100000000000001" customHeight="1" x14ac:dyDescent="0.3">
      <c r="A686776" s="17"/>
    </row>
    <row r="687068" spans="1:1" ht="17.100000000000001" customHeight="1" x14ac:dyDescent="0.3">
      <c r="A687068" s="17"/>
    </row>
    <row r="687360" spans="1:1" ht="17.100000000000001" customHeight="1" x14ac:dyDescent="0.3">
      <c r="A687360" s="17"/>
    </row>
    <row r="687652" spans="1:1" ht="17.100000000000001" customHeight="1" x14ac:dyDescent="0.3">
      <c r="A687652" s="17"/>
    </row>
    <row r="687944" spans="1:1" ht="17.100000000000001" customHeight="1" x14ac:dyDescent="0.3">
      <c r="A687944" s="17"/>
    </row>
    <row r="688236" spans="1:1" ht="17.100000000000001" customHeight="1" x14ac:dyDescent="0.3">
      <c r="A688236" s="17"/>
    </row>
    <row r="688528" spans="1:1" ht="17.100000000000001" customHeight="1" x14ac:dyDescent="0.3">
      <c r="A688528" s="17"/>
    </row>
    <row r="688820" spans="1:1" ht="17.100000000000001" customHeight="1" x14ac:dyDescent="0.3">
      <c r="A688820" s="17"/>
    </row>
    <row r="689112" spans="1:1" ht="17.100000000000001" customHeight="1" x14ac:dyDescent="0.3">
      <c r="A689112" s="17"/>
    </row>
    <row r="689404" spans="1:1" ht="17.100000000000001" customHeight="1" x14ac:dyDescent="0.3">
      <c r="A689404" s="17"/>
    </row>
    <row r="689696" spans="1:1" ht="17.100000000000001" customHeight="1" x14ac:dyDescent="0.3">
      <c r="A689696" s="17"/>
    </row>
    <row r="689988" spans="1:1" ht="17.100000000000001" customHeight="1" x14ac:dyDescent="0.3">
      <c r="A689988" s="17"/>
    </row>
    <row r="690280" spans="1:1" ht="17.100000000000001" customHeight="1" x14ac:dyDescent="0.3">
      <c r="A690280" s="17"/>
    </row>
    <row r="690572" spans="1:1" ht="17.100000000000001" customHeight="1" x14ac:dyDescent="0.3">
      <c r="A690572" s="17"/>
    </row>
    <row r="690864" spans="1:1" ht="17.100000000000001" customHeight="1" x14ac:dyDescent="0.3">
      <c r="A690864" s="17"/>
    </row>
    <row r="691156" spans="1:1" ht="17.100000000000001" customHeight="1" x14ac:dyDescent="0.3">
      <c r="A691156" s="17"/>
    </row>
    <row r="691448" spans="1:1" ht="17.100000000000001" customHeight="1" x14ac:dyDescent="0.3">
      <c r="A691448" s="17"/>
    </row>
    <row r="691740" spans="1:1" ht="17.100000000000001" customHeight="1" x14ac:dyDescent="0.3">
      <c r="A691740" s="17"/>
    </row>
    <row r="692032" spans="1:1" ht="17.100000000000001" customHeight="1" x14ac:dyDescent="0.3">
      <c r="A692032" s="17"/>
    </row>
    <row r="692324" spans="1:1" ht="17.100000000000001" customHeight="1" x14ac:dyDescent="0.3">
      <c r="A692324" s="17"/>
    </row>
    <row r="692616" spans="1:1" ht="17.100000000000001" customHeight="1" x14ac:dyDescent="0.3">
      <c r="A692616" s="17"/>
    </row>
    <row r="692908" spans="1:1" ht="17.100000000000001" customHeight="1" x14ac:dyDescent="0.3">
      <c r="A692908" s="17"/>
    </row>
    <row r="693200" spans="1:1" ht="17.100000000000001" customHeight="1" x14ac:dyDescent="0.3">
      <c r="A693200" s="17"/>
    </row>
    <row r="693492" spans="1:1" ht="17.100000000000001" customHeight="1" x14ac:dyDescent="0.3">
      <c r="A693492" s="17"/>
    </row>
    <row r="693784" spans="1:1" ht="17.100000000000001" customHeight="1" x14ac:dyDescent="0.3">
      <c r="A693784" s="17"/>
    </row>
    <row r="694076" spans="1:1" ht="17.100000000000001" customHeight="1" x14ac:dyDescent="0.3">
      <c r="A694076" s="17"/>
    </row>
    <row r="694368" spans="1:1" ht="17.100000000000001" customHeight="1" x14ac:dyDescent="0.3">
      <c r="A694368" s="17"/>
    </row>
    <row r="694660" spans="1:1" ht="17.100000000000001" customHeight="1" x14ac:dyDescent="0.3">
      <c r="A694660" s="17"/>
    </row>
    <row r="694952" spans="1:1" ht="17.100000000000001" customHeight="1" x14ac:dyDescent="0.3">
      <c r="A694952" s="17"/>
    </row>
    <row r="695244" spans="1:1" ht="17.100000000000001" customHeight="1" x14ac:dyDescent="0.3">
      <c r="A695244" s="17"/>
    </row>
    <row r="695536" spans="1:1" ht="17.100000000000001" customHeight="1" x14ac:dyDescent="0.3">
      <c r="A695536" s="17"/>
    </row>
    <row r="695828" spans="1:1" ht="17.100000000000001" customHeight="1" x14ac:dyDescent="0.3">
      <c r="A695828" s="17"/>
    </row>
    <row r="696120" spans="1:1" ht="17.100000000000001" customHeight="1" x14ac:dyDescent="0.3">
      <c r="A696120" s="17"/>
    </row>
    <row r="696412" spans="1:1" ht="17.100000000000001" customHeight="1" x14ac:dyDescent="0.3">
      <c r="A696412" s="17"/>
    </row>
    <row r="696704" spans="1:1" ht="17.100000000000001" customHeight="1" x14ac:dyDescent="0.3">
      <c r="A696704" s="17"/>
    </row>
    <row r="696996" spans="1:1" ht="17.100000000000001" customHeight="1" x14ac:dyDescent="0.3">
      <c r="A696996" s="17"/>
    </row>
    <row r="697288" spans="1:1" ht="17.100000000000001" customHeight="1" x14ac:dyDescent="0.3">
      <c r="A697288" s="17"/>
    </row>
    <row r="697580" spans="1:1" ht="17.100000000000001" customHeight="1" x14ac:dyDescent="0.3">
      <c r="A697580" s="17"/>
    </row>
    <row r="697872" spans="1:1" ht="17.100000000000001" customHeight="1" x14ac:dyDescent="0.3">
      <c r="A697872" s="17"/>
    </row>
    <row r="698164" spans="1:1" ht="17.100000000000001" customHeight="1" x14ac:dyDescent="0.3">
      <c r="A698164" s="17"/>
    </row>
    <row r="698456" spans="1:1" ht="17.100000000000001" customHeight="1" x14ac:dyDescent="0.3">
      <c r="A698456" s="17"/>
    </row>
    <row r="698748" spans="1:1" ht="17.100000000000001" customHeight="1" x14ac:dyDescent="0.3">
      <c r="A698748" s="17"/>
    </row>
    <row r="699040" spans="1:1" ht="17.100000000000001" customHeight="1" x14ac:dyDescent="0.3">
      <c r="A699040" s="17"/>
    </row>
    <row r="699332" spans="1:1" ht="17.100000000000001" customHeight="1" x14ac:dyDescent="0.3">
      <c r="A699332" s="17"/>
    </row>
    <row r="699624" spans="1:1" ht="17.100000000000001" customHeight="1" x14ac:dyDescent="0.3">
      <c r="A699624" s="17"/>
    </row>
    <row r="699916" spans="1:1" ht="17.100000000000001" customHeight="1" x14ac:dyDescent="0.3">
      <c r="A699916" s="17"/>
    </row>
    <row r="700208" spans="1:1" ht="17.100000000000001" customHeight="1" x14ac:dyDescent="0.3">
      <c r="A700208" s="17"/>
    </row>
    <row r="700500" spans="1:1" ht="17.100000000000001" customHeight="1" x14ac:dyDescent="0.3">
      <c r="A700500" s="17"/>
    </row>
    <row r="700792" spans="1:1" ht="17.100000000000001" customHeight="1" x14ac:dyDescent="0.3">
      <c r="A700792" s="17"/>
    </row>
    <row r="701084" spans="1:1" ht="17.100000000000001" customHeight="1" x14ac:dyDescent="0.3">
      <c r="A701084" s="17"/>
    </row>
    <row r="701376" spans="1:1" ht="17.100000000000001" customHeight="1" x14ac:dyDescent="0.3">
      <c r="A701376" s="17"/>
    </row>
    <row r="701668" spans="1:1" ht="17.100000000000001" customHeight="1" x14ac:dyDescent="0.3">
      <c r="A701668" s="17"/>
    </row>
    <row r="701960" spans="1:1" ht="17.100000000000001" customHeight="1" x14ac:dyDescent="0.3">
      <c r="A701960" s="17"/>
    </row>
    <row r="702252" spans="1:1" ht="17.100000000000001" customHeight="1" x14ac:dyDescent="0.3">
      <c r="A702252" s="17"/>
    </row>
    <row r="702544" spans="1:1" ht="17.100000000000001" customHeight="1" x14ac:dyDescent="0.3">
      <c r="A702544" s="17"/>
    </row>
    <row r="702836" spans="1:1" ht="17.100000000000001" customHeight="1" x14ac:dyDescent="0.3">
      <c r="A702836" s="17"/>
    </row>
    <row r="703128" spans="1:1" ht="17.100000000000001" customHeight="1" x14ac:dyDescent="0.3">
      <c r="A703128" s="17"/>
    </row>
    <row r="703420" spans="1:1" ht="17.100000000000001" customHeight="1" x14ac:dyDescent="0.3">
      <c r="A703420" s="17"/>
    </row>
    <row r="703712" spans="1:1" ht="17.100000000000001" customHeight="1" x14ac:dyDescent="0.3">
      <c r="A703712" s="17"/>
    </row>
    <row r="704004" spans="1:1" ht="17.100000000000001" customHeight="1" x14ac:dyDescent="0.3">
      <c r="A704004" s="17"/>
    </row>
    <row r="704296" spans="1:1" ht="17.100000000000001" customHeight="1" x14ac:dyDescent="0.3">
      <c r="A704296" s="17"/>
    </row>
    <row r="704588" spans="1:1" ht="17.100000000000001" customHeight="1" x14ac:dyDescent="0.3">
      <c r="A704588" s="17"/>
    </row>
    <row r="704880" spans="1:1" ht="17.100000000000001" customHeight="1" x14ac:dyDescent="0.3">
      <c r="A704880" s="17"/>
    </row>
    <row r="705172" spans="1:1" ht="17.100000000000001" customHeight="1" x14ac:dyDescent="0.3">
      <c r="A705172" s="17"/>
    </row>
    <row r="705464" spans="1:1" ht="17.100000000000001" customHeight="1" x14ac:dyDescent="0.3">
      <c r="A705464" s="17"/>
    </row>
    <row r="705756" spans="1:1" ht="17.100000000000001" customHeight="1" x14ac:dyDescent="0.3">
      <c r="A705756" s="17"/>
    </row>
    <row r="706048" spans="1:1" ht="17.100000000000001" customHeight="1" x14ac:dyDescent="0.3">
      <c r="A706048" s="17"/>
    </row>
    <row r="706340" spans="1:1" ht="17.100000000000001" customHeight="1" x14ac:dyDescent="0.3">
      <c r="A706340" s="17"/>
    </row>
    <row r="706632" spans="1:1" ht="17.100000000000001" customHeight="1" x14ac:dyDescent="0.3">
      <c r="A706632" s="17"/>
    </row>
    <row r="706924" spans="1:1" ht="17.100000000000001" customHeight="1" x14ac:dyDescent="0.3">
      <c r="A706924" s="17"/>
    </row>
    <row r="707216" spans="1:1" ht="17.100000000000001" customHeight="1" x14ac:dyDescent="0.3">
      <c r="A707216" s="17"/>
    </row>
    <row r="707508" spans="1:1" ht="17.100000000000001" customHeight="1" x14ac:dyDescent="0.3">
      <c r="A707508" s="17"/>
    </row>
    <row r="707800" spans="1:1" ht="17.100000000000001" customHeight="1" x14ac:dyDescent="0.3">
      <c r="A707800" s="17"/>
    </row>
    <row r="708092" spans="1:1" ht="17.100000000000001" customHeight="1" x14ac:dyDescent="0.3">
      <c r="A708092" s="17"/>
    </row>
    <row r="708384" spans="1:1" ht="17.100000000000001" customHeight="1" x14ac:dyDescent="0.3">
      <c r="A708384" s="17"/>
    </row>
    <row r="708676" spans="1:1" ht="17.100000000000001" customHeight="1" x14ac:dyDescent="0.3">
      <c r="A708676" s="17"/>
    </row>
    <row r="708968" spans="1:1" ht="17.100000000000001" customHeight="1" x14ac:dyDescent="0.3">
      <c r="A708968" s="17"/>
    </row>
    <row r="709260" spans="1:1" ht="17.100000000000001" customHeight="1" x14ac:dyDescent="0.3">
      <c r="A709260" s="17"/>
    </row>
    <row r="709552" spans="1:1" ht="17.100000000000001" customHeight="1" x14ac:dyDescent="0.3">
      <c r="A709552" s="17"/>
    </row>
    <row r="709844" spans="1:1" ht="17.100000000000001" customHeight="1" x14ac:dyDescent="0.3">
      <c r="A709844" s="17"/>
    </row>
    <row r="710136" spans="1:1" ht="17.100000000000001" customHeight="1" x14ac:dyDescent="0.3">
      <c r="A710136" s="17"/>
    </row>
    <row r="710428" spans="1:1" ht="17.100000000000001" customHeight="1" x14ac:dyDescent="0.3">
      <c r="A710428" s="17"/>
    </row>
    <row r="710720" spans="1:1" ht="17.100000000000001" customHeight="1" x14ac:dyDescent="0.3">
      <c r="A710720" s="17"/>
    </row>
    <row r="711012" spans="1:1" ht="17.100000000000001" customHeight="1" x14ac:dyDescent="0.3">
      <c r="A711012" s="17"/>
    </row>
    <row r="711304" spans="1:1" ht="17.100000000000001" customHeight="1" x14ac:dyDescent="0.3">
      <c r="A711304" s="17"/>
    </row>
    <row r="711596" spans="1:1" ht="17.100000000000001" customHeight="1" x14ac:dyDescent="0.3">
      <c r="A711596" s="17"/>
    </row>
    <row r="711888" spans="1:1" ht="17.100000000000001" customHeight="1" x14ac:dyDescent="0.3">
      <c r="A711888" s="17"/>
    </row>
    <row r="712180" spans="1:1" ht="17.100000000000001" customHeight="1" x14ac:dyDescent="0.3">
      <c r="A712180" s="17"/>
    </row>
    <row r="712472" spans="1:1" ht="17.100000000000001" customHeight="1" x14ac:dyDescent="0.3">
      <c r="A712472" s="17"/>
    </row>
    <row r="712764" spans="1:1" ht="17.100000000000001" customHeight="1" x14ac:dyDescent="0.3">
      <c r="A712764" s="17"/>
    </row>
    <row r="713056" spans="1:1" ht="17.100000000000001" customHeight="1" x14ac:dyDescent="0.3">
      <c r="A713056" s="17"/>
    </row>
    <row r="713348" spans="1:1" ht="17.100000000000001" customHeight="1" x14ac:dyDescent="0.3">
      <c r="A713348" s="17"/>
    </row>
    <row r="713640" spans="1:1" ht="17.100000000000001" customHeight="1" x14ac:dyDescent="0.3">
      <c r="A713640" s="17"/>
    </row>
    <row r="713932" spans="1:1" ht="17.100000000000001" customHeight="1" x14ac:dyDescent="0.3">
      <c r="A713932" s="17"/>
    </row>
    <row r="714224" spans="1:1" ht="17.100000000000001" customHeight="1" x14ac:dyDescent="0.3">
      <c r="A714224" s="17"/>
    </row>
    <row r="714516" spans="1:1" ht="17.100000000000001" customHeight="1" x14ac:dyDescent="0.3">
      <c r="A714516" s="17"/>
    </row>
    <row r="714808" spans="1:1" ht="17.100000000000001" customHeight="1" x14ac:dyDescent="0.3">
      <c r="A714808" s="17"/>
    </row>
    <row r="715100" spans="1:1" ht="17.100000000000001" customHeight="1" x14ac:dyDescent="0.3">
      <c r="A715100" s="17"/>
    </row>
    <row r="715392" spans="1:1" ht="17.100000000000001" customHeight="1" x14ac:dyDescent="0.3">
      <c r="A715392" s="17"/>
    </row>
    <row r="715684" spans="1:1" ht="17.100000000000001" customHeight="1" x14ac:dyDescent="0.3">
      <c r="A715684" s="17"/>
    </row>
    <row r="715976" spans="1:1" ht="17.100000000000001" customHeight="1" x14ac:dyDescent="0.3">
      <c r="A715976" s="17"/>
    </row>
    <row r="716268" spans="1:1" ht="17.100000000000001" customHeight="1" x14ac:dyDescent="0.3">
      <c r="A716268" s="17"/>
    </row>
    <row r="716560" spans="1:1" ht="17.100000000000001" customHeight="1" x14ac:dyDescent="0.3">
      <c r="A716560" s="17"/>
    </row>
    <row r="716852" spans="1:1" ht="17.100000000000001" customHeight="1" x14ac:dyDescent="0.3">
      <c r="A716852" s="17"/>
    </row>
    <row r="717144" spans="1:1" ht="17.100000000000001" customHeight="1" x14ac:dyDescent="0.3">
      <c r="A717144" s="17"/>
    </row>
    <row r="717436" spans="1:1" ht="17.100000000000001" customHeight="1" x14ac:dyDescent="0.3">
      <c r="A717436" s="17"/>
    </row>
    <row r="717728" spans="1:1" ht="17.100000000000001" customHeight="1" x14ac:dyDescent="0.3">
      <c r="A717728" s="17"/>
    </row>
    <row r="718020" spans="1:1" ht="17.100000000000001" customHeight="1" x14ac:dyDescent="0.3">
      <c r="A718020" s="17"/>
    </row>
    <row r="718312" spans="1:1" ht="17.100000000000001" customHeight="1" x14ac:dyDescent="0.3">
      <c r="A718312" s="17"/>
    </row>
    <row r="718604" spans="1:1" ht="17.100000000000001" customHeight="1" x14ac:dyDescent="0.3">
      <c r="A718604" s="17"/>
    </row>
    <row r="718896" spans="1:1" ht="17.100000000000001" customHeight="1" x14ac:dyDescent="0.3">
      <c r="A718896" s="17"/>
    </row>
    <row r="719188" spans="1:1" ht="17.100000000000001" customHeight="1" x14ac:dyDescent="0.3">
      <c r="A719188" s="17"/>
    </row>
    <row r="719480" spans="1:1" ht="17.100000000000001" customHeight="1" x14ac:dyDescent="0.3">
      <c r="A719480" s="17"/>
    </row>
    <row r="719772" spans="1:1" ht="17.100000000000001" customHeight="1" x14ac:dyDescent="0.3">
      <c r="A719772" s="17"/>
    </row>
    <row r="720064" spans="1:1" ht="17.100000000000001" customHeight="1" x14ac:dyDescent="0.3">
      <c r="A720064" s="17"/>
    </row>
    <row r="720356" spans="1:1" ht="17.100000000000001" customHeight="1" x14ac:dyDescent="0.3">
      <c r="A720356" s="17"/>
    </row>
    <row r="720648" spans="1:1" ht="17.100000000000001" customHeight="1" x14ac:dyDescent="0.3">
      <c r="A720648" s="17"/>
    </row>
    <row r="720940" spans="1:1" ht="17.100000000000001" customHeight="1" x14ac:dyDescent="0.3">
      <c r="A720940" s="17"/>
    </row>
    <row r="721232" spans="1:1" ht="17.100000000000001" customHeight="1" x14ac:dyDescent="0.3">
      <c r="A721232" s="17"/>
    </row>
    <row r="721524" spans="1:1" ht="17.100000000000001" customHeight="1" x14ac:dyDescent="0.3">
      <c r="A721524" s="17"/>
    </row>
    <row r="721816" spans="1:1" ht="17.100000000000001" customHeight="1" x14ac:dyDescent="0.3">
      <c r="A721816" s="17"/>
    </row>
    <row r="722108" spans="1:1" ht="17.100000000000001" customHeight="1" x14ac:dyDescent="0.3">
      <c r="A722108" s="17"/>
    </row>
    <row r="722400" spans="1:1" ht="17.100000000000001" customHeight="1" x14ac:dyDescent="0.3">
      <c r="A722400" s="17"/>
    </row>
    <row r="722692" spans="1:1" ht="17.100000000000001" customHeight="1" x14ac:dyDescent="0.3">
      <c r="A722692" s="17"/>
    </row>
    <row r="722984" spans="1:1" ht="17.100000000000001" customHeight="1" x14ac:dyDescent="0.3">
      <c r="A722984" s="17"/>
    </row>
    <row r="723276" spans="1:1" ht="17.100000000000001" customHeight="1" x14ac:dyDescent="0.3">
      <c r="A723276" s="17"/>
    </row>
    <row r="723568" spans="1:1" ht="17.100000000000001" customHeight="1" x14ac:dyDescent="0.3">
      <c r="A723568" s="17"/>
    </row>
    <row r="723860" spans="1:1" ht="17.100000000000001" customHeight="1" x14ac:dyDescent="0.3">
      <c r="A723860" s="17"/>
    </row>
    <row r="724152" spans="1:1" ht="17.100000000000001" customHeight="1" x14ac:dyDescent="0.3">
      <c r="A724152" s="17"/>
    </row>
    <row r="724444" spans="1:1" ht="17.100000000000001" customHeight="1" x14ac:dyDescent="0.3">
      <c r="A724444" s="17"/>
    </row>
    <row r="724736" spans="1:1" ht="17.100000000000001" customHeight="1" x14ac:dyDescent="0.3">
      <c r="A724736" s="17"/>
    </row>
    <row r="725028" spans="1:1" ht="17.100000000000001" customHeight="1" x14ac:dyDescent="0.3">
      <c r="A725028" s="17"/>
    </row>
    <row r="725320" spans="1:1" ht="17.100000000000001" customHeight="1" x14ac:dyDescent="0.3">
      <c r="A725320" s="17"/>
    </row>
    <row r="725612" spans="1:1" ht="17.100000000000001" customHeight="1" x14ac:dyDescent="0.3">
      <c r="A725612" s="17"/>
    </row>
    <row r="725904" spans="1:1" ht="17.100000000000001" customHeight="1" x14ac:dyDescent="0.3">
      <c r="A725904" s="17"/>
    </row>
    <row r="726196" spans="1:1" ht="17.100000000000001" customHeight="1" x14ac:dyDescent="0.3">
      <c r="A726196" s="17"/>
    </row>
    <row r="726488" spans="1:1" ht="17.100000000000001" customHeight="1" x14ac:dyDescent="0.3">
      <c r="A726488" s="17"/>
    </row>
    <row r="726780" spans="1:1" ht="17.100000000000001" customHeight="1" x14ac:dyDescent="0.3">
      <c r="A726780" s="17"/>
    </row>
    <row r="727072" spans="1:1" ht="17.100000000000001" customHeight="1" x14ac:dyDescent="0.3">
      <c r="A727072" s="17"/>
    </row>
    <row r="727364" spans="1:1" ht="17.100000000000001" customHeight="1" x14ac:dyDescent="0.3">
      <c r="A727364" s="17"/>
    </row>
    <row r="727656" spans="1:1" ht="17.100000000000001" customHeight="1" x14ac:dyDescent="0.3">
      <c r="A727656" s="17"/>
    </row>
    <row r="727948" spans="1:1" ht="17.100000000000001" customHeight="1" x14ac:dyDescent="0.3">
      <c r="A727948" s="17"/>
    </row>
    <row r="728240" spans="1:1" ht="17.100000000000001" customHeight="1" x14ac:dyDescent="0.3">
      <c r="A728240" s="17"/>
    </row>
    <row r="728532" spans="1:1" ht="17.100000000000001" customHeight="1" x14ac:dyDescent="0.3">
      <c r="A728532" s="17"/>
    </row>
    <row r="728824" spans="1:1" ht="17.100000000000001" customHeight="1" x14ac:dyDescent="0.3">
      <c r="A728824" s="17"/>
    </row>
    <row r="729116" spans="1:1" ht="17.100000000000001" customHeight="1" x14ac:dyDescent="0.3">
      <c r="A729116" s="17"/>
    </row>
    <row r="729408" spans="1:1" ht="17.100000000000001" customHeight="1" x14ac:dyDescent="0.3">
      <c r="A729408" s="17"/>
    </row>
    <row r="729700" spans="1:1" ht="17.100000000000001" customHeight="1" x14ac:dyDescent="0.3">
      <c r="A729700" s="17"/>
    </row>
    <row r="729992" spans="1:1" ht="17.100000000000001" customHeight="1" x14ac:dyDescent="0.3">
      <c r="A729992" s="17"/>
    </row>
    <row r="730284" spans="1:1" ht="17.100000000000001" customHeight="1" x14ac:dyDescent="0.3">
      <c r="A730284" s="17"/>
    </row>
    <row r="730576" spans="1:1" ht="17.100000000000001" customHeight="1" x14ac:dyDescent="0.3">
      <c r="A730576" s="17"/>
    </row>
    <row r="730868" spans="1:1" ht="17.100000000000001" customHeight="1" x14ac:dyDescent="0.3">
      <c r="A730868" s="17"/>
    </row>
    <row r="731160" spans="1:1" ht="17.100000000000001" customHeight="1" x14ac:dyDescent="0.3">
      <c r="A731160" s="17"/>
    </row>
    <row r="731452" spans="1:1" ht="17.100000000000001" customHeight="1" x14ac:dyDescent="0.3">
      <c r="A731452" s="17"/>
    </row>
    <row r="731744" spans="1:1" ht="17.100000000000001" customHeight="1" x14ac:dyDescent="0.3">
      <c r="A731744" s="17"/>
    </row>
    <row r="732036" spans="1:1" ht="17.100000000000001" customHeight="1" x14ac:dyDescent="0.3">
      <c r="A732036" s="17"/>
    </row>
    <row r="732328" spans="1:1" ht="17.100000000000001" customHeight="1" x14ac:dyDescent="0.3">
      <c r="A732328" s="17"/>
    </row>
    <row r="732620" spans="1:1" ht="17.100000000000001" customHeight="1" x14ac:dyDescent="0.3">
      <c r="A732620" s="17"/>
    </row>
    <row r="732912" spans="1:1" ht="17.100000000000001" customHeight="1" x14ac:dyDescent="0.3">
      <c r="A732912" s="17"/>
    </row>
    <row r="733204" spans="1:1" ht="17.100000000000001" customHeight="1" x14ac:dyDescent="0.3">
      <c r="A733204" s="17"/>
    </row>
    <row r="733496" spans="1:1" ht="17.100000000000001" customHeight="1" x14ac:dyDescent="0.3">
      <c r="A733496" s="17"/>
    </row>
    <row r="733788" spans="1:1" ht="17.100000000000001" customHeight="1" x14ac:dyDescent="0.3">
      <c r="A733788" s="17"/>
    </row>
    <row r="734080" spans="1:1" ht="17.100000000000001" customHeight="1" x14ac:dyDescent="0.3">
      <c r="A734080" s="17"/>
    </row>
    <row r="734372" spans="1:1" ht="17.100000000000001" customHeight="1" x14ac:dyDescent="0.3">
      <c r="A734372" s="17"/>
    </row>
    <row r="734664" spans="1:1" ht="17.100000000000001" customHeight="1" x14ac:dyDescent="0.3">
      <c r="A734664" s="17"/>
    </row>
    <row r="734956" spans="1:1" ht="17.100000000000001" customHeight="1" x14ac:dyDescent="0.3">
      <c r="A734956" s="17"/>
    </row>
    <row r="735248" spans="1:1" ht="17.100000000000001" customHeight="1" x14ac:dyDescent="0.3">
      <c r="A735248" s="17"/>
    </row>
    <row r="735540" spans="1:1" ht="17.100000000000001" customHeight="1" x14ac:dyDescent="0.3">
      <c r="A735540" s="17"/>
    </row>
    <row r="735832" spans="1:1" ht="17.100000000000001" customHeight="1" x14ac:dyDescent="0.3">
      <c r="A735832" s="17"/>
    </row>
    <row r="736124" spans="1:1" ht="17.100000000000001" customHeight="1" x14ac:dyDescent="0.3">
      <c r="A736124" s="17"/>
    </row>
    <row r="736416" spans="1:1" ht="17.100000000000001" customHeight="1" x14ac:dyDescent="0.3">
      <c r="A736416" s="17"/>
    </row>
    <row r="736708" spans="1:1" ht="17.100000000000001" customHeight="1" x14ac:dyDescent="0.3">
      <c r="A736708" s="17"/>
    </row>
    <row r="737000" spans="1:1" ht="17.100000000000001" customHeight="1" x14ac:dyDescent="0.3">
      <c r="A737000" s="17"/>
    </row>
    <row r="737292" spans="1:1" ht="17.100000000000001" customHeight="1" x14ac:dyDescent="0.3">
      <c r="A737292" s="17"/>
    </row>
    <row r="737584" spans="1:1" ht="17.100000000000001" customHeight="1" x14ac:dyDescent="0.3">
      <c r="A737584" s="17"/>
    </row>
    <row r="737876" spans="1:1" ht="17.100000000000001" customHeight="1" x14ac:dyDescent="0.3">
      <c r="A737876" s="17"/>
    </row>
    <row r="738168" spans="1:1" ht="17.100000000000001" customHeight="1" x14ac:dyDescent="0.3">
      <c r="A738168" s="17"/>
    </row>
    <row r="738460" spans="1:1" ht="17.100000000000001" customHeight="1" x14ac:dyDescent="0.3">
      <c r="A738460" s="17"/>
    </row>
    <row r="738752" spans="1:1" ht="17.100000000000001" customHeight="1" x14ac:dyDescent="0.3">
      <c r="A738752" s="17"/>
    </row>
    <row r="739044" spans="1:1" ht="17.100000000000001" customHeight="1" x14ac:dyDescent="0.3">
      <c r="A739044" s="17"/>
    </row>
    <row r="739336" spans="1:1" ht="17.100000000000001" customHeight="1" x14ac:dyDescent="0.3">
      <c r="A739336" s="17"/>
    </row>
    <row r="739628" spans="1:1" ht="17.100000000000001" customHeight="1" x14ac:dyDescent="0.3">
      <c r="A739628" s="17"/>
    </row>
    <row r="739920" spans="1:1" ht="17.100000000000001" customHeight="1" x14ac:dyDescent="0.3">
      <c r="A739920" s="17"/>
    </row>
    <row r="740212" spans="1:1" ht="17.100000000000001" customHeight="1" x14ac:dyDescent="0.3">
      <c r="A740212" s="17"/>
    </row>
    <row r="740504" spans="1:1" ht="17.100000000000001" customHeight="1" x14ac:dyDescent="0.3">
      <c r="A740504" s="17"/>
    </row>
    <row r="740796" spans="1:1" ht="17.100000000000001" customHeight="1" x14ac:dyDescent="0.3">
      <c r="A740796" s="17"/>
    </row>
    <row r="741088" spans="1:1" ht="17.100000000000001" customHeight="1" x14ac:dyDescent="0.3">
      <c r="A741088" s="17"/>
    </row>
    <row r="741380" spans="1:1" ht="17.100000000000001" customHeight="1" x14ac:dyDescent="0.3">
      <c r="A741380" s="17"/>
    </row>
    <row r="741672" spans="1:1" ht="17.100000000000001" customHeight="1" x14ac:dyDescent="0.3">
      <c r="A741672" s="17"/>
    </row>
    <row r="741964" spans="1:1" ht="17.100000000000001" customHeight="1" x14ac:dyDescent="0.3">
      <c r="A741964" s="17"/>
    </row>
    <row r="742256" spans="1:1" ht="17.100000000000001" customHeight="1" x14ac:dyDescent="0.3">
      <c r="A742256" s="17"/>
    </row>
    <row r="742548" spans="1:1" ht="17.100000000000001" customHeight="1" x14ac:dyDescent="0.3">
      <c r="A742548" s="17"/>
    </row>
    <row r="742840" spans="1:1" ht="17.100000000000001" customHeight="1" x14ac:dyDescent="0.3">
      <c r="A742840" s="17"/>
    </row>
    <row r="743132" spans="1:1" ht="17.100000000000001" customHeight="1" x14ac:dyDescent="0.3">
      <c r="A743132" s="17"/>
    </row>
    <row r="743424" spans="1:1" ht="17.100000000000001" customHeight="1" x14ac:dyDescent="0.3">
      <c r="A743424" s="17"/>
    </row>
    <row r="743716" spans="1:1" ht="17.100000000000001" customHeight="1" x14ac:dyDescent="0.3">
      <c r="A743716" s="17"/>
    </row>
    <row r="744008" spans="1:1" ht="17.100000000000001" customHeight="1" x14ac:dyDescent="0.3">
      <c r="A744008" s="17"/>
    </row>
    <row r="744300" spans="1:1" ht="17.100000000000001" customHeight="1" x14ac:dyDescent="0.3">
      <c r="A744300" s="17"/>
    </row>
    <row r="744592" spans="1:1" ht="17.100000000000001" customHeight="1" x14ac:dyDescent="0.3">
      <c r="A744592" s="17"/>
    </row>
    <row r="744884" spans="1:1" ht="17.100000000000001" customHeight="1" x14ac:dyDescent="0.3">
      <c r="A744884" s="17"/>
    </row>
    <row r="745176" spans="1:1" ht="17.100000000000001" customHeight="1" x14ac:dyDescent="0.3">
      <c r="A745176" s="17"/>
    </row>
    <row r="745468" spans="1:1" ht="17.100000000000001" customHeight="1" x14ac:dyDescent="0.3">
      <c r="A745468" s="17"/>
    </row>
    <row r="745760" spans="1:1" ht="17.100000000000001" customHeight="1" x14ac:dyDescent="0.3">
      <c r="A745760" s="17"/>
    </row>
    <row r="746052" spans="1:1" ht="17.100000000000001" customHeight="1" x14ac:dyDescent="0.3">
      <c r="A746052" s="17"/>
    </row>
    <row r="746344" spans="1:1" ht="17.100000000000001" customHeight="1" x14ac:dyDescent="0.3">
      <c r="A746344" s="17"/>
    </row>
    <row r="746636" spans="1:1" ht="17.100000000000001" customHeight="1" x14ac:dyDescent="0.3">
      <c r="A746636" s="17"/>
    </row>
    <row r="746928" spans="1:1" ht="17.100000000000001" customHeight="1" x14ac:dyDescent="0.3">
      <c r="A746928" s="17"/>
    </row>
    <row r="747220" spans="1:1" ht="17.100000000000001" customHeight="1" x14ac:dyDescent="0.3">
      <c r="A747220" s="17"/>
    </row>
    <row r="747512" spans="1:1" ht="17.100000000000001" customHeight="1" x14ac:dyDescent="0.3">
      <c r="A747512" s="17"/>
    </row>
    <row r="747804" spans="1:1" ht="17.100000000000001" customHeight="1" x14ac:dyDescent="0.3">
      <c r="A747804" s="17"/>
    </row>
    <row r="748096" spans="1:1" ht="17.100000000000001" customHeight="1" x14ac:dyDescent="0.3">
      <c r="A748096" s="17"/>
    </row>
    <row r="748388" spans="1:1" ht="17.100000000000001" customHeight="1" x14ac:dyDescent="0.3">
      <c r="A748388" s="17"/>
    </row>
    <row r="748680" spans="1:1" ht="17.100000000000001" customHeight="1" x14ac:dyDescent="0.3">
      <c r="A748680" s="17"/>
    </row>
    <row r="748972" spans="1:1" ht="17.100000000000001" customHeight="1" x14ac:dyDescent="0.3">
      <c r="A748972" s="17"/>
    </row>
    <row r="749264" spans="1:1" ht="17.100000000000001" customHeight="1" x14ac:dyDescent="0.3">
      <c r="A749264" s="17"/>
    </row>
    <row r="749556" spans="1:1" ht="17.100000000000001" customHeight="1" x14ac:dyDescent="0.3">
      <c r="A749556" s="17"/>
    </row>
    <row r="749848" spans="1:1" ht="17.100000000000001" customHeight="1" x14ac:dyDescent="0.3">
      <c r="A749848" s="17"/>
    </row>
    <row r="750140" spans="1:1" ht="17.100000000000001" customHeight="1" x14ac:dyDescent="0.3">
      <c r="A750140" s="17"/>
    </row>
    <row r="750432" spans="1:1" ht="17.100000000000001" customHeight="1" x14ac:dyDescent="0.3">
      <c r="A750432" s="17"/>
    </row>
    <row r="750724" spans="1:1" ht="17.100000000000001" customHeight="1" x14ac:dyDescent="0.3">
      <c r="A750724" s="17"/>
    </row>
    <row r="751016" spans="1:1" ht="17.100000000000001" customHeight="1" x14ac:dyDescent="0.3">
      <c r="A751016" s="17"/>
    </row>
    <row r="751308" spans="1:1" ht="17.100000000000001" customHeight="1" x14ac:dyDescent="0.3">
      <c r="A751308" s="17"/>
    </row>
    <row r="751600" spans="1:1" ht="17.100000000000001" customHeight="1" x14ac:dyDescent="0.3">
      <c r="A751600" s="17"/>
    </row>
    <row r="751892" spans="1:1" ht="17.100000000000001" customHeight="1" x14ac:dyDescent="0.3">
      <c r="A751892" s="17"/>
    </row>
    <row r="752184" spans="1:1" ht="17.100000000000001" customHeight="1" x14ac:dyDescent="0.3">
      <c r="A752184" s="17"/>
    </row>
    <row r="752476" spans="1:1" ht="17.100000000000001" customHeight="1" x14ac:dyDescent="0.3">
      <c r="A752476" s="17"/>
    </row>
    <row r="752768" spans="1:1" ht="17.100000000000001" customHeight="1" x14ac:dyDescent="0.3">
      <c r="A752768" s="17"/>
    </row>
    <row r="753060" spans="1:1" ht="17.100000000000001" customHeight="1" x14ac:dyDescent="0.3">
      <c r="A753060" s="17"/>
    </row>
    <row r="753352" spans="1:1" ht="17.100000000000001" customHeight="1" x14ac:dyDescent="0.3">
      <c r="A753352" s="17"/>
    </row>
    <row r="753644" spans="1:1" ht="17.100000000000001" customHeight="1" x14ac:dyDescent="0.3">
      <c r="A753644" s="17"/>
    </row>
    <row r="753936" spans="1:1" ht="17.100000000000001" customHeight="1" x14ac:dyDescent="0.3">
      <c r="A753936" s="17"/>
    </row>
    <row r="754228" spans="1:1" ht="17.100000000000001" customHeight="1" x14ac:dyDescent="0.3">
      <c r="A754228" s="17"/>
    </row>
    <row r="754520" spans="1:1" ht="17.100000000000001" customHeight="1" x14ac:dyDescent="0.3">
      <c r="A754520" s="17"/>
    </row>
    <row r="754812" spans="1:1" ht="17.100000000000001" customHeight="1" x14ac:dyDescent="0.3">
      <c r="A754812" s="17"/>
    </row>
    <row r="755104" spans="1:1" ht="17.100000000000001" customHeight="1" x14ac:dyDescent="0.3">
      <c r="A755104" s="17"/>
    </row>
    <row r="755396" spans="1:1" ht="17.100000000000001" customHeight="1" x14ac:dyDescent="0.3">
      <c r="A755396" s="17"/>
    </row>
    <row r="755688" spans="1:1" ht="17.100000000000001" customHeight="1" x14ac:dyDescent="0.3">
      <c r="A755688" s="17"/>
    </row>
    <row r="755980" spans="1:1" ht="17.100000000000001" customHeight="1" x14ac:dyDescent="0.3">
      <c r="A755980" s="17"/>
    </row>
    <row r="756272" spans="1:1" ht="17.100000000000001" customHeight="1" x14ac:dyDescent="0.3">
      <c r="A756272" s="17"/>
    </row>
    <row r="756564" spans="1:1" ht="17.100000000000001" customHeight="1" x14ac:dyDescent="0.3">
      <c r="A756564" s="17"/>
    </row>
    <row r="756856" spans="1:1" ht="17.100000000000001" customHeight="1" x14ac:dyDescent="0.3">
      <c r="A756856" s="17"/>
    </row>
    <row r="757148" spans="1:1" ht="17.100000000000001" customHeight="1" x14ac:dyDescent="0.3">
      <c r="A757148" s="17"/>
    </row>
    <row r="757440" spans="1:1" ht="17.100000000000001" customHeight="1" x14ac:dyDescent="0.3">
      <c r="A757440" s="17"/>
    </row>
    <row r="757732" spans="1:1" ht="17.100000000000001" customHeight="1" x14ac:dyDescent="0.3">
      <c r="A757732" s="17"/>
    </row>
    <row r="758024" spans="1:1" ht="17.100000000000001" customHeight="1" x14ac:dyDescent="0.3">
      <c r="A758024" s="17"/>
    </row>
    <row r="758316" spans="1:1" ht="17.100000000000001" customHeight="1" x14ac:dyDescent="0.3">
      <c r="A758316" s="17"/>
    </row>
    <row r="758608" spans="1:1" ht="17.100000000000001" customHeight="1" x14ac:dyDescent="0.3">
      <c r="A758608" s="17"/>
    </row>
    <row r="758900" spans="1:1" ht="17.100000000000001" customHeight="1" x14ac:dyDescent="0.3">
      <c r="A758900" s="17"/>
    </row>
    <row r="759192" spans="1:1" ht="17.100000000000001" customHeight="1" x14ac:dyDescent="0.3">
      <c r="A759192" s="17"/>
    </row>
    <row r="759484" spans="1:1" ht="17.100000000000001" customHeight="1" x14ac:dyDescent="0.3">
      <c r="A759484" s="17"/>
    </row>
    <row r="759776" spans="1:1" ht="17.100000000000001" customHeight="1" x14ac:dyDescent="0.3">
      <c r="A759776" s="17"/>
    </row>
    <row r="760068" spans="1:1" ht="17.100000000000001" customHeight="1" x14ac:dyDescent="0.3">
      <c r="A760068" s="17"/>
    </row>
    <row r="760360" spans="1:1" ht="17.100000000000001" customHeight="1" x14ac:dyDescent="0.3">
      <c r="A760360" s="17"/>
    </row>
    <row r="760652" spans="1:1" ht="17.100000000000001" customHeight="1" x14ac:dyDescent="0.3">
      <c r="A760652" s="17"/>
    </row>
    <row r="760944" spans="1:1" ht="17.100000000000001" customHeight="1" x14ac:dyDescent="0.3">
      <c r="A760944" s="17"/>
    </row>
    <row r="761236" spans="1:1" ht="17.100000000000001" customHeight="1" x14ac:dyDescent="0.3">
      <c r="A761236" s="17"/>
    </row>
    <row r="761528" spans="1:1" ht="17.100000000000001" customHeight="1" x14ac:dyDescent="0.3">
      <c r="A761528" s="17"/>
    </row>
    <row r="761820" spans="1:1" ht="17.100000000000001" customHeight="1" x14ac:dyDescent="0.3">
      <c r="A761820" s="17"/>
    </row>
    <row r="762112" spans="1:1" ht="17.100000000000001" customHeight="1" x14ac:dyDescent="0.3">
      <c r="A762112" s="17"/>
    </row>
    <row r="762404" spans="1:1" ht="17.100000000000001" customHeight="1" x14ac:dyDescent="0.3">
      <c r="A762404" s="17"/>
    </row>
    <row r="762696" spans="1:1" ht="17.100000000000001" customHeight="1" x14ac:dyDescent="0.3">
      <c r="A762696" s="17"/>
    </row>
    <row r="762988" spans="1:1" ht="17.100000000000001" customHeight="1" x14ac:dyDescent="0.3">
      <c r="A762988" s="17"/>
    </row>
    <row r="763280" spans="1:1" ht="17.100000000000001" customHeight="1" x14ac:dyDescent="0.3">
      <c r="A763280" s="17"/>
    </row>
    <row r="763572" spans="1:1" ht="17.100000000000001" customHeight="1" x14ac:dyDescent="0.3">
      <c r="A763572" s="17"/>
    </row>
    <row r="763864" spans="1:1" ht="17.100000000000001" customHeight="1" x14ac:dyDescent="0.3">
      <c r="A763864" s="17"/>
    </row>
    <row r="764156" spans="1:1" ht="17.100000000000001" customHeight="1" x14ac:dyDescent="0.3">
      <c r="A764156" s="17"/>
    </row>
    <row r="764448" spans="1:1" ht="17.100000000000001" customHeight="1" x14ac:dyDescent="0.3">
      <c r="A764448" s="17"/>
    </row>
    <row r="764740" spans="1:1" ht="17.100000000000001" customHeight="1" x14ac:dyDescent="0.3">
      <c r="A764740" s="17"/>
    </row>
    <row r="765032" spans="1:1" ht="17.100000000000001" customHeight="1" x14ac:dyDescent="0.3">
      <c r="A765032" s="17"/>
    </row>
    <row r="765324" spans="1:1" ht="17.100000000000001" customHeight="1" x14ac:dyDescent="0.3">
      <c r="A765324" s="17"/>
    </row>
    <row r="765616" spans="1:1" ht="17.100000000000001" customHeight="1" x14ac:dyDescent="0.3">
      <c r="A765616" s="17"/>
    </row>
    <row r="765908" spans="1:1" ht="17.100000000000001" customHeight="1" x14ac:dyDescent="0.3">
      <c r="A765908" s="17"/>
    </row>
    <row r="766200" spans="1:1" ht="17.100000000000001" customHeight="1" x14ac:dyDescent="0.3">
      <c r="A766200" s="17"/>
    </row>
    <row r="766492" spans="1:1" ht="17.100000000000001" customHeight="1" x14ac:dyDescent="0.3">
      <c r="A766492" s="17"/>
    </row>
    <row r="766784" spans="1:1" ht="17.100000000000001" customHeight="1" x14ac:dyDescent="0.3">
      <c r="A766784" s="17"/>
    </row>
    <row r="767076" spans="1:1" ht="17.100000000000001" customHeight="1" x14ac:dyDescent="0.3">
      <c r="A767076" s="17"/>
    </row>
    <row r="767368" spans="1:1" ht="17.100000000000001" customHeight="1" x14ac:dyDescent="0.3">
      <c r="A767368" s="17"/>
    </row>
    <row r="767660" spans="1:1" ht="17.100000000000001" customHeight="1" x14ac:dyDescent="0.3">
      <c r="A767660" s="17"/>
    </row>
    <row r="767952" spans="1:1" ht="17.100000000000001" customHeight="1" x14ac:dyDescent="0.3">
      <c r="A767952" s="17"/>
    </row>
    <row r="768244" spans="1:1" ht="17.100000000000001" customHeight="1" x14ac:dyDescent="0.3">
      <c r="A768244" s="17"/>
    </row>
    <row r="768536" spans="1:1" ht="17.100000000000001" customHeight="1" x14ac:dyDescent="0.3">
      <c r="A768536" s="17"/>
    </row>
    <row r="768828" spans="1:1" ht="17.100000000000001" customHeight="1" x14ac:dyDescent="0.3">
      <c r="A768828" s="17"/>
    </row>
    <row r="769120" spans="1:1" ht="17.100000000000001" customHeight="1" x14ac:dyDescent="0.3">
      <c r="A769120" s="17"/>
    </row>
    <row r="769412" spans="1:1" ht="17.100000000000001" customHeight="1" x14ac:dyDescent="0.3">
      <c r="A769412" s="17"/>
    </row>
    <row r="769704" spans="1:1" ht="17.100000000000001" customHeight="1" x14ac:dyDescent="0.3">
      <c r="A769704" s="17"/>
    </row>
    <row r="769996" spans="1:1" ht="17.100000000000001" customHeight="1" x14ac:dyDescent="0.3">
      <c r="A769996" s="17"/>
    </row>
    <row r="770288" spans="1:1" ht="17.100000000000001" customHeight="1" x14ac:dyDescent="0.3">
      <c r="A770288" s="17"/>
    </row>
    <row r="770580" spans="1:1" ht="17.100000000000001" customHeight="1" x14ac:dyDescent="0.3">
      <c r="A770580" s="17"/>
    </row>
    <row r="770872" spans="1:1" ht="17.100000000000001" customHeight="1" x14ac:dyDescent="0.3">
      <c r="A770872" s="17"/>
    </row>
    <row r="771164" spans="1:1" ht="17.100000000000001" customHeight="1" x14ac:dyDescent="0.3">
      <c r="A771164" s="17"/>
    </row>
    <row r="771456" spans="1:1" ht="17.100000000000001" customHeight="1" x14ac:dyDescent="0.3">
      <c r="A771456" s="17"/>
    </row>
    <row r="771748" spans="1:1" ht="17.100000000000001" customHeight="1" x14ac:dyDescent="0.3">
      <c r="A771748" s="17"/>
    </row>
    <row r="772040" spans="1:1" ht="17.100000000000001" customHeight="1" x14ac:dyDescent="0.3">
      <c r="A772040" s="17"/>
    </row>
    <row r="772332" spans="1:1" ht="17.100000000000001" customHeight="1" x14ac:dyDescent="0.3">
      <c r="A772332" s="17"/>
    </row>
    <row r="772624" spans="1:1" ht="17.100000000000001" customHeight="1" x14ac:dyDescent="0.3">
      <c r="A772624" s="17"/>
    </row>
    <row r="772916" spans="1:1" ht="17.100000000000001" customHeight="1" x14ac:dyDescent="0.3">
      <c r="A772916" s="17"/>
    </row>
    <row r="773208" spans="1:1" ht="17.100000000000001" customHeight="1" x14ac:dyDescent="0.3">
      <c r="A773208" s="17"/>
    </row>
    <row r="773500" spans="1:1" ht="17.100000000000001" customHeight="1" x14ac:dyDescent="0.3">
      <c r="A773500" s="17"/>
    </row>
    <row r="773792" spans="1:1" ht="17.100000000000001" customHeight="1" x14ac:dyDescent="0.3">
      <c r="A773792" s="17"/>
    </row>
    <row r="774084" spans="1:1" ht="17.100000000000001" customHeight="1" x14ac:dyDescent="0.3">
      <c r="A774084" s="17"/>
    </row>
    <row r="774376" spans="1:1" ht="17.100000000000001" customHeight="1" x14ac:dyDescent="0.3">
      <c r="A774376" s="17"/>
    </row>
    <row r="774668" spans="1:1" ht="17.100000000000001" customHeight="1" x14ac:dyDescent="0.3">
      <c r="A774668" s="17"/>
    </row>
    <row r="774960" spans="1:1" ht="17.100000000000001" customHeight="1" x14ac:dyDescent="0.3">
      <c r="A774960" s="17"/>
    </row>
    <row r="775252" spans="1:1" ht="17.100000000000001" customHeight="1" x14ac:dyDescent="0.3">
      <c r="A775252" s="17"/>
    </row>
    <row r="775544" spans="1:1" ht="17.100000000000001" customHeight="1" x14ac:dyDescent="0.3">
      <c r="A775544" s="17"/>
    </row>
    <row r="775836" spans="1:1" ht="17.100000000000001" customHeight="1" x14ac:dyDescent="0.3">
      <c r="A775836" s="17"/>
    </row>
    <row r="776128" spans="1:1" ht="17.100000000000001" customHeight="1" x14ac:dyDescent="0.3">
      <c r="A776128" s="17"/>
    </row>
    <row r="776420" spans="1:1" ht="17.100000000000001" customHeight="1" x14ac:dyDescent="0.3">
      <c r="A776420" s="17"/>
    </row>
    <row r="776712" spans="1:1" ht="17.100000000000001" customHeight="1" x14ac:dyDescent="0.3">
      <c r="A776712" s="17"/>
    </row>
    <row r="777004" spans="1:1" ht="17.100000000000001" customHeight="1" x14ac:dyDescent="0.3">
      <c r="A777004" s="17"/>
    </row>
    <row r="777296" spans="1:1" ht="17.100000000000001" customHeight="1" x14ac:dyDescent="0.3">
      <c r="A777296" s="17"/>
    </row>
    <row r="777588" spans="1:1" ht="17.100000000000001" customHeight="1" x14ac:dyDescent="0.3">
      <c r="A777588" s="17"/>
    </row>
    <row r="777880" spans="1:1" ht="17.100000000000001" customHeight="1" x14ac:dyDescent="0.3">
      <c r="A777880" s="17"/>
    </row>
    <row r="778172" spans="1:1" ht="17.100000000000001" customHeight="1" x14ac:dyDescent="0.3">
      <c r="A778172" s="17"/>
    </row>
    <row r="778464" spans="1:1" ht="17.100000000000001" customHeight="1" x14ac:dyDescent="0.3">
      <c r="A778464" s="17"/>
    </row>
    <row r="778756" spans="1:1" ht="17.100000000000001" customHeight="1" x14ac:dyDescent="0.3">
      <c r="A778756" s="17"/>
    </row>
    <row r="779048" spans="1:1" ht="17.100000000000001" customHeight="1" x14ac:dyDescent="0.3">
      <c r="A779048" s="17"/>
    </row>
    <row r="779340" spans="1:1" ht="17.100000000000001" customHeight="1" x14ac:dyDescent="0.3">
      <c r="A779340" s="17"/>
    </row>
    <row r="779632" spans="1:1" ht="17.100000000000001" customHeight="1" x14ac:dyDescent="0.3">
      <c r="A779632" s="17"/>
    </row>
    <row r="779924" spans="1:1" ht="17.100000000000001" customHeight="1" x14ac:dyDescent="0.3">
      <c r="A779924" s="17"/>
    </row>
    <row r="780216" spans="1:1" ht="17.100000000000001" customHeight="1" x14ac:dyDescent="0.3">
      <c r="A780216" s="17"/>
    </row>
    <row r="780508" spans="1:1" ht="17.100000000000001" customHeight="1" x14ac:dyDescent="0.3">
      <c r="A780508" s="17"/>
    </row>
    <row r="780800" spans="1:1" ht="17.100000000000001" customHeight="1" x14ac:dyDescent="0.3">
      <c r="A780800" s="17"/>
    </row>
    <row r="781092" spans="1:1" ht="17.100000000000001" customHeight="1" x14ac:dyDescent="0.3">
      <c r="A781092" s="17"/>
    </row>
    <row r="781384" spans="1:1" ht="17.100000000000001" customHeight="1" x14ac:dyDescent="0.3">
      <c r="A781384" s="17"/>
    </row>
    <row r="781676" spans="1:1" ht="17.100000000000001" customHeight="1" x14ac:dyDescent="0.3">
      <c r="A781676" s="17"/>
    </row>
    <row r="781968" spans="1:1" ht="17.100000000000001" customHeight="1" x14ac:dyDescent="0.3">
      <c r="A781968" s="17"/>
    </row>
    <row r="782260" spans="1:1" ht="17.100000000000001" customHeight="1" x14ac:dyDescent="0.3">
      <c r="A782260" s="17"/>
    </row>
    <row r="782552" spans="1:1" ht="17.100000000000001" customHeight="1" x14ac:dyDescent="0.3">
      <c r="A782552" s="17"/>
    </row>
    <row r="782844" spans="1:1" ht="17.100000000000001" customHeight="1" x14ac:dyDescent="0.3">
      <c r="A782844" s="17"/>
    </row>
    <row r="783136" spans="1:1" ht="17.100000000000001" customHeight="1" x14ac:dyDescent="0.3">
      <c r="A783136" s="17"/>
    </row>
    <row r="783428" spans="1:1" ht="17.100000000000001" customHeight="1" x14ac:dyDescent="0.3">
      <c r="A783428" s="17"/>
    </row>
    <row r="783720" spans="1:1" ht="17.100000000000001" customHeight="1" x14ac:dyDescent="0.3">
      <c r="A783720" s="17"/>
    </row>
    <row r="784012" spans="1:1" ht="17.100000000000001" customHeight="1" x14ac:dyDescent="0.3">
      <c r="A784012" s="17"/>
    </row>
    <row r="784304" spans="1:1" ht="17.100000000000001" customHeight="1" x14ac:dyDescent="0.3">
      <c r="A784304" s="17"/>
    </row>
    <row r="784596" spans="1:1" ht="17.100000000000001" customHeight="1" x14ac:dyDescent="0.3">
      <c r="A784596" s="17"/>
    </row>
    <row r="784888" spans="1:1" ht="17.100000000000001" customHeight="1" x14ac:dyDescent="0.3">
      <c r="A784888" s="17"/>
    </row>
    <row r="785180" spans="1:1" ht="17.100000000000001" customHeight="1" x14ac:dyDescent="0.3">
      <c r="A785180" s="17"/>
    </row>
    <row r="785472" spans="1:1" ht="17.100000000000001" customHeight="1" x14ac:dyDescent="0.3">
      <c r="A785472" s="17"/>
    </row>
    <row r="785764" spans="1:1" ht="17.100000000000001" customHeight="1" x14ac:dyDescent="0.3">
      <c r="A785764" s="17"/>
    </row>
    <row r="786056" spans="1:1" ht="17.100000000000001" customHeight="1" x14ac:dyDescent="0.3">
      <c r="A786056" s="17"/>
    </row>
    <row r="786348" spans="1:1" ht="17.100000000000001" customHeight="1" x14ac:dyDescent="0.3">
      <c r="A786348" s="17"/>
    </row>
    <row r="786640" spans="1:1" ht="17.100000000000001" customHeight="1" x14ac:dyDescent="0.3">
      <c r="A786640" s="17"/>
    </row>
    <row r="786932" spans="1:1" ht="17.100000000000001" customHeight="1" x14ac:dyDescent="0.3">
      <c r="A786932" s="17"/>
    </row>
    <row r="787224" spans="1:1" ht="17.100000000000001" customHeight="1" x14ac:dyDescent="0.3">
      <c r="A787224" s="17"/>
    </row>
    <row r="787516" spans="1:1" ht="17.100000000000001" customHeight="1" x14ac:dyDescent="0.3">
      <c r="A787516" s="17"/>
    </row>
    <row r="787808" spans="1:1" ht="17.100000000000001" customHeight="1" x14ac:dyDescent="0.3">
      <c r="A787808" s="17"/>
    </row>
    <row r="788100" spans="1:1" ht="17.100000000000001" customHeight="1" x14ac:dyDescent="0.3">
      <c r="A788100" s="17"/>
    </row>
    <row r="788392" spans="1:1" ht="17.100000000000001" customHeight="1" x14ac:dyDescent="0.3">
      <c r="A788392" s="17"/>
    </row>
    <row r="788684" spans="1:1" ht="17.100000000000001" customHeight="1" x14ac:dyDescent="0.3">
      <c r="A788684" s="17"/>
    </row>
    <row r="788976" spans="1:1" ht="17.100000000000001" customHeight="1" x14ac:dyDescent="0.3">
      <c r="A788976" s="17"/>
    </row>
    <row r="789268" spans="1:1" ht="17.100000000000001" customHeight="1" x14ac:dyDescent="0.3">
      <c r="A789268" s="17"/>
    </row>
    <row r="789560" spans="1:1" ht="17.100000000000001" customHeight="1" x14ac:dyDescent="0.3">
      <c r="A789560" s="17"/>
    </row>
    <row r="789852" spans="1:1" ht="17.100000000000001" customHeight="1" x14ac:dyDescent="0.3">
      <c r="A789852" s="17"/>
    </row>
    <row r="790144" spans="1:1" ht="17.100000000000001" customHeight="1" x14ac:dyDescent="0.3">
      <c r="A790144" s="17"/>
    </row>
    <row r="790436" spans="1:1" ht="17.100000000000001" customHeight="1" x14ac:dyDescent="0.3">
      <c r="A790436" s="17"/>
    </row>
    <row r="790728" spans="1:1" ht="17.100000000000001" customHeight="1" x14ac:dyDescent="0.3">
      <c r="A790728" s="17"/>
    </row>
    <row r="791020" spans="1:1" ht="17.100000000000001" customHeight="1" x14ac:dyDescent="0.3">
      <c r="A791020" s="17"/>
    </row>
    <row r="791312" spans="1:1" ht="17.100000000000001" customHeight="1" x14ac:dyDescent="0.3">
      <c r="A791312" s="17"/>
    </row>
    <row r="791604" spans="1:1" ht="17.100000000000001" customHeight="1" x14ac:dyDescent="0.3">
      <c r="A791604" s="17"/>
    </row>
    <row r="791896" spans="1:1" ht="17.100000000000001" customHeight="1" x14ac:dyDescent="0.3">
      <c r="A791896" s="17"/>
    </row>
    <row r="792188" spans="1:1" ht="17.100000000000001" customHeight="1" x14ac:dyDescent="0.3">
      <c r="A792188" s="17"/>
    </row>
    <row r="792480" spans="1:1" ht="17.100000000000001" customHeight="1" x14ac:dyDescent="0.3">
      <c r="A792480" s="17"/>
    </row>
    <row r="792772" spans="1:1" ht="17.100000000000001" customHeight="1" x14ac:dyDescent="0.3">
      <c r="A792772" s="17"/>
    </row>
    <row r="793064" spans="1:1" ht="17.100000000000001" customHeight="1" x14ac:dyDescent="0.3">
      <c r="A793064" s="17"/>
    </row>
    <row r="793356" spans="1:1" ht="17.100000000000001" customHeight="1" x14ac:dyDescent="0.3">
      <c r="A793356" s="17"/>
    </row>
    <row r="793648" spans="1:1" ht="17.100000000000001" customHeight="1" x14ac:dyDescent="0.3">
      <c r="A793648" s="17"/>
    </row>
    <row r="793940" spans="1:1" ht="17.100000000000001" customHeight="1" x14ac:dyDescent="0.3">
      <c r="A793940" s="17"/>
    </row>
    <row r="794232" spans="1:1" ht="17.100000000000001" customHeight="1" x14ac:dyDescent="0.3">
      <c r="A794232" s="17"/>
    </row>
    <row r="794524" spans="1:1" ht="17.100000000000001" customHeight="1" x14ac:dyDescent="0.3">
      <c r="A794524" s="17"/>
    </row>
    <row r="794816" spans="1:1" ht="17.100000000000001" customHeight="1" x14ac:dyDescent="0.3">
      <c r="A794816" s="17"/>
    </row>
    <row r="795108" spans="1:1" ht="17.100000000000001" customHeight="1" x14ac:dyDescent="0.3">
      <c r="A795108" s="17"/>
    </row>
    <row r="795400" spans="1:1" ht="17.100000000000001" customHeight="1" x14ac:dyDescent="0.3">
      <c r="A795400" s="17"/>
    </row>
    <row r="795692" spans="1:1" ht="17.100000000000001" customHeight="1" x14ac:dyDescent="0.3">
      <c r="A795692" s="17"/>
    </row>
    <row r="795984" spans="1:1" ht="17.100000000000001" customHeight="1" x14ac:dyDescent="0.3">
      <c r="A795984" s="17"/>
    </row>
    <row r="796276" spans="1:1" ht="17.100000000000001" customHeight="1" x14ac:dyDescent="0.3">
      <c r="A796276" s="17"/>
    </row>
    <row r="796568" spans="1:1" ht="17.100000000000001" customHeight="1" x14ac:dyDescent="0.3">
      <c r="A796568" s="17"/>
    </row>
    <row r="796860" spans="1:1" ht="17.100000000000001" customHeight="1" x14ac:dyDescent="0.3">
      <c r="A796860" s="17"/>
    </row>
    <row r="797152" spans="1:1" ht="17.100000000000001" customHeight="1" x14ac:dyDescent="0.3">
      <c r="A797152" s="17"/>
    </row>
    <row r="797444" spans="1:1" ht="17.100000000000001" customHeight="1" x14ac:dyDescent="0.3">
      <c r="A797444" s="17"/>
    </row>
    <row r="797736" spans="1:1" ht="17.100000000000001" customHeight="1" x14ac:dyDescent="0.3">
      <c r="A797736" s="17"/>
    </row>
    <row r="798028" spans="1:1" ht="17.100000000000001" customHeight="1" x14ac:dyDescent="0.3">
      <c r="A798028" s="17"/>
    </row>
    <row r="798320" spans="1:1" ht="17.100000000000001" customHeight="1" x14ac:dyDescent="0.3">
      <c r="A798320" s="17"/>
    </row>
    <row r="798612" spans="1:1" ht="17.100000000000001" customHeight="1" x14ac:dyDescent="0.3">
      <c r="A798612" s="17"/>
    </row>
    <row r="798904" spans="1:1" ht="17.100000000000001" customHeight="1" x14ac:dyDescent="0.3">
      <c r="A798904" s="17"/>
    </row>
    <row r="799196" spans="1:1" ht="17.100000000000001" customHeight="1" x14ac:dyDescent="0.3">
      <c r="A799196" s="17"/>
    </row>
    <row r="799488" spans="1:1" ht="17.100000000000001" customHeight="1" x14ac:dyDescent="0.3">
      <c r="A799488" s="17"/>
    </row>
    <row r="799780" spans="1:1" ht="17.100000000000001" customHeight="1" x14ac:dyDescent="0.3">
      <c r="A799780" s="17"/>
    </row>
    <row r="800072" spans="1:1" ht="17.100000000000001" customHeight="1" x14ac:dyDescent="0.3">
      <c r="A800072" s="17"/>
    </row>
    <row r="800364" spans="1:1" ht="17.100000000000001" customHeight="1" x14ac:dyDescent="0.3">
      <c r="A800364" s="17"/>
    </row>
    <row r="800656" spans="1:1" ht="17.100000000000001" customHeight="1" x14ac:dyDescent="0.3">
      <c r="A800656" s="17"/>
    </row>
    <row r="800948" spans="1:1" ht="17.100000000000001" customHeight="1" x14ac:dyDescent="0.3">
      <c r="A800948" s="17"/>
    </row>
    <row r="801240" spans="1:1" ht="17.100000000000001" customHeight="1" x14ac:dyDescent="0.3">
      <c r="A801240" s="17"/>
    </row>
    <row r="801532" spans="1:1" ht="17.100000000000001" customHeight="1" x14ac:dyDescent="0.3">
      <c r="A801532" s="17"/>
    </row>
    <row r="801824" spans="1:1" ht="17.100000000000001" customHeight="1" x14ac:dyDescent="0.3">
      <c r="A801824" s="17"/>
    </row>
    <row r="802116" spans="1:1" ht="17.100000000000001" customHeight="1" x14ac:dyDescent="0.3">
      <c r="A802116" s="17"/>
    </row>
    <row r="802408" spans="1:1" ht="17.100000000000001" customHeight="1" x14ac:dyDescent="0.3">
      <c r="A802408" s="17"/>
    </row>
    <row r="802700" spans="1:1" ht="17.100000000000001" customHeight="1" x14ac:dyDescent="0.3">
      <c r="A802700" s="17"/>
    </row>
    <row r="802992" spans="1:1" ht="17.100000000000001" customHeight="1" x14ac:dyDescent="0.3">
      <c r="A802992" s="17"/>
    </row>
    <row r="803284" spans="1:1" ht="17.100000000000001" customHeight="1" x14ac:dyDescent="0.3">
      <c r="A803284" s="17"/>
    </row>
    <row r="803576" spans="1:1" ht="17.100000000000001" customHeight="1" x14ac:dyDescent="0.3">
      <c r="A803576" s="17"/>
    </row>
    <row r="803868" spans="1:1" ht="17.100000000000001" customHeight="1" x14ac:dyDescent="0.3">
      <c r="A803868" s="17"/>
    </row>
    <row r="804160" spans="1:1" ht="17.100000000000001" customHeight="1" x14ac:dyDescent="0.3">
      <c r="A804160" s="17"/>
    </row>
    <row r="804452" spans="1:1" ht="17.100000000000001" customHeight="1" x14ac:dyDescent="0.3">
      <c r="A804452" s="17"/>
    </row>
    <row r="804744" spans="1:1" ht="17.100000000000001" customHeight="1" x14ac:dyDescent="0.3">
      <c r="A804744" s="17"/>
    </row>
    <row r="805036" spans="1:1" ht="17.100000000000001" customHeight="1" x14ac:dyDescent="0.3">
      <c r="A805036" s="17"/>
    </row>
    <row r="805328" spans="1:1" ht="17.100000000000001" customHeight="1" x14ac:dyDescent="0.3">
      <c r="A805328" s="17"/>
    </row>
    <row r="805620" spans="1:1" ht="17.100000000000001" customHeight="1" x14ac:dyDescent="0.3">
      <c r="A805620" s="17"/>
    </row>
    <row r="805912" spans="1:1" ht="17.100000000000001" customHeight="1" x14ac:dyDescent="0.3">
      <c r="A805912" s="17"/>
    </row>
    <row r="806204" spans="1:1" ht="17.100000000000001" customHeight="1" x14ac:dyDescent="0.3">
      <c r="A806204" s="17"/>
    </row>
    <row r="806496" spans="1:1" ht="17.100000000000001" customHeight="1" x14ac:dyDescent="0.3">
      <c r="A806496" s="17"/>
    </row>
    <row r="806788" spans="1:1" ht="17.100000000000001" customHeight="1" x14ac:dyDescent="0.3">
      <c r="A806788" s="17"/>
    </row>
    <row r="807080" spans="1:1" ht="17.100000000000001" customHeight="1" x14ac:dyDescent="0.3">
      <c r="A807080" s="17"/>
    </row>
    <row r="807372" spans="1:1" ht="17.100000000000001" customHeight="1" x14ac:dyDescent="0.3">
      <c r="A807372" s="17"/>
    </row>
    <row r="807664" spans="1:1" ht="17.100000000000001" customHeight="1" x14ac:dyDescent="0.3">
      <c r="A807664" s="17"/>
    </row>
    <row r="807956" spans="1:1" ht="17.100000000000001" customHeight="1" x14ac:dyDescent="0.3">
      <c r="A807956" s="17"/>
    </row>
    <row r="808248" spans="1:1" ht="17.100000000000001" customHeight="1" x14ac:dyDescent="0.3">
      <c r="A808248" s="17"/>
    </row>
    <row r="808540" spans="1:1" ht="17.100000000000001" customHeight="1" x14ac:dyDescent="0.3">
      <c r="A808540" s="17"/>
    </row>
    <row r="808832" spans="1:1" ht="17.100000000000001" customHeight="1" x14ac:dyDescent="0.3">
      <c r="A808832" s="17"/>
    </row>
    <row r="809124" spans="1:1" ht="17.100000000000001" customHeight="1" x14ac:dyDescent="0.3">
      <c r="A809124" s="17"/>
    </row>
    <row r="809416" spans="1:1" ht="17.100000000000001" customHeight="1" x14ac:dyDescent="0.3">
      <c r="A809416" s="17"/>
    </row>
    <row r="809708" spans="1:1" ht="17.100000000000001" customHeight="1" x14ac:dyDescent="0.3">
      <c r="A809708" s="17"/>
    </row>
    <row r="810000" spans="1:1" ht="17.100000000000001" customHeight="1" x14ac:dyDescent="0.3">
      <c r="A810000" s="17"/>
    </row>
    <row r="810292" spans="1:1" ht="17.100000000000001" customHeight="1" x14ac:dyDescent="0.3">
      <c r="A810292" s="17"/>
    </row>
    <row r="810584" spans="1:1" ht="17.100000000000001" customHeight="1" x14ac:dyDescent="0.3">
      <c r="A810584" s="17"/>
    </row>
    <row r="810876" spans="1:1" ht="17.100000000000001" customHeight="1" x14ac:dyDescent="0.3">
      <c r="A810876" s="17"/>
    </row>
    <row r="811168" spans="1:1" ht="17.100000000000001" customHeight="1" x14ac:dyDescent="0.3">
      <c r="A811168" s="17"/>
    </row>
    <row r="811460" spans="1:1" ht="17.100000000000001" customHeight="1" x14ac:dyDescent="0.3">
      <c r="A811460" s="17"/>
    </row>
    <row r="811752" spans="1:1" ht="17.100000000000001" customHeight="1" x14ac:dyDescent="0.3">
      <c r="A811752" s="17"/>
    </row>
    <row r="812044" spans="1:1" ht="17.100000000000001" customHeight="1" x14ac:dyDescent="0.3">
      <c r="A812044" s="17"/>
    </row>
    <row r="812336" spans="1:1" ht="17.100000000000001" customHeight="1" x14ac:dyDescent="0.3">
      <c r="A812336" s="17"/>
    </row>
    <row r="812628" spans="1:1" ht="17.100000000000001" customHeight="1" x14ac:dyDescent="0.3">
      <c r="A812628" s="17"/>
    </row>
    <row r="812920" spans="1:1" ht="17.100000000000001" customHeight="1" x14ac:dyDescent="0.3">
      <c r="A812920" s="17"/>
    </row>
    <row r="813212" spans="1:1" ht="17.100000000000001" customHeight="1" x14ac:dyDescent="0.3">
      <c r="A813212" s="17"/>
    </row>
    <row r="813504" spans="1:1" ht="17.100000000000001" customHeight="1" x14ac:dyDescent="0.3">
      <c r="A813504" s="17"/>
    </row>
    <row r="813796" spans="1:1" ht="17.100000000000001" customHeight="1" x14ac:dyDescent="0.3">
      <c r="A813796" s="17"/>
    </row>
    <row r="814088" spans="1:1" ht="17.100000000000001" customHeight="1" x14ac:dyDescent="0.3">
      <c r="A814088" s="17"/>
    </row>
    <row r="814380" spans="1:1" ht="17.100000000000001" customHeight="1" x14ac:dyDescent="0.3">
      <c r="A814380" s="17"/>
    </row>
    <row r="814672" spans="1:1" ht="17.100000000000001" customHeight="1" x14ac:dyDescent="0.3">
      <c r="A814672" s="17"/>
    </row>
    <row r="814964" spans="1:1" ht="17.100000000000001" customHeight="1" x14ac:dyDescent="0.3">
      <c r="A814964" s="17"/>
    </row>
    <row r="815256" spans="1:1" ht="17.100000000000001" customHeight="1" x14ac:dyDescent="0.3">
      <c r="A815256" s="17"/>
    </row>
    <row r="815548" spans="1:1" ht="17.100000000000001" customHeight="1" x14ac:dyDescent="0.3">
      <c r="A815548" s="17"/>
    </row>
    <row r="815840" spans="1:1" ht="17.100000000000001" customHeight="1" x14ac:dyDescent="0.3">
      <c r="A815840" s="17"/>
    </row>
    <row r="816132" spans="1:1" ht="17.100000000000001" customHeight="1" x14ac:dyDescent="0.3">
      <c r="A816132" s="17"/>
    </row>
    <row r="816424" spans="1:1" ht="17.100000000000001" customHeight="1" x14ac:dyDescent="0.3">
      <c r="A816424" s="17"/>
    </row>
    <row r="816716" spans="1:1" ht="17.100000000000001" customHeight="1" x14ac:dyDescent="0.3">
      <c r="A816716" s="17"/>
    </row>
    <row r="817008" spans="1:1" ht="17.100000000000001" customHeight="1" x14ac:dyDescent="0.3">
      <c r="A817008" s="17"/>
    </row>
    <row r="817300" spans="1:1" ht="17.100000000000001" customHeight="1" x14ac:dyDescent="0.3">
      <c r="A817300" s="17"/>
    </row>
    <row r="817592" spans="1:1" ht="17.100000000000001" customHeight="1" x14ac:dyDescent="0.3">
      <c r="A817592" s="17"/>
    </row>
    <row r="817884" spans="1:1" ht="17.100000000000001" customHeight="1" x14ac:dyDescent="0.3">
      <c r="A817884" s="17"/>
    </row>
    <row r="818176" spans="1:1" ht="17.100000000000001" customHeight="1" x14ac:dyDescent="0.3">
      <c r="A818176" s="17"/>
    </row>
    <row r="818468" spans="1:1" ht="17.100000000000001" customHeight="1" x14ac:dyDescent="0.3">
      <c r="A818468" s="17"/>
    </row>
    <row r="818760" spans="1:1" ht="17.100000000000001" customHeight="1" x14ac:dyDescent="0.3">
      <c r="A818760" s="17"/>
    </row>
    <row r="819052" spans="1:1" ht="17.100000000000001" customHeight="1" x14ac:dyDescent="0.3">
      <c r="A819052" s="17"/>
    </row>
    <row r="819344" spans="1:1" ht="17.100000000000001" customHeight="1" x14ac:dyDescent="0.3">
      <c r="A819344" s="17"/>
    </row>
    <row r="819636" spans="1:1" ht="17.100000000000001" customHeight="1" x14ac:dyDescent="0.3">
      <c r="A819636" s="17"/>
    </row>
    <row r="819928" spans="1:1" ht="17.100000000000001" customHeight="1" x14ac:dyDescent="0.3">
      <c r="A819928" s="17"/>
    </row>
    <row r="820220" spans="1:1" ht="17.100000000000001" customHeight="1" x14ac:dyDescent="0.3">
      <c r="A820220" s="17"/>
    </row>
    <row r="820512" spans="1:1" ht="17.100000000000001" customHeight="1" x14ac:dyDescent="0.3">
      <c r="A820512" s="17"/>
    </row>
    <row r="820804" spans="1:1" ht="17.100000000000001" customHeight="1" x14ac:dyDescent="0.3">
      <c r="A820804" s="17"/>
    </row>
    <row r="821096" spans="1:1" ht="17.100000000000001" customHeight="1" x14ac:dyDescent="0.3">
      <c r="A821096" s="17"/>
    </row>
    <row r="821388" spans="1:1" ht="17.100000000000001" customHeight="1" x14ac:dyDescent="0.3">
      <c r="A821388" s="17"/>
    </row>
    <row r="821680" spans="1:1" ht="17.100000000000001" customHeight="1" x14ac:dyDescent="0.3">
      <c r="A821680" s="17"/>
    </row>
    <row r="821972" spans="1:1" ht="17.100000000000001" customHeight="1" x14ac:dyDescent="0.3">
      <c r="A821972" s="17"/>
    </row>
    <row r="822264" spans="1:1" ht="17.100000000000001" customHeight="1" x14ac:dyDescent="0.3">
      <c r="A822264" s="17"/>
    </row>
    <row r="822556" spans="1:1" ht="17.100000000000001" customHeight="1" x14ac:dyDescent="0.3">
      <c r="A822556" s="17"/>
    </row>
    <row r="822848" spans="1:1" ht="17.100000000000001" customHeight="1" x14ac:dyDescent="0.3">
      <c r="A822848" s="17"/>
    </row>
    <row r="823140" spans="1:1" ht="17.100000000000001" customHeight="1" x14ac:dyDescent="0.3">
      <c r="A823140" s="17"/>
    </row>
    <row r="823432" spans="1:1" ht="17.100000000000001" customHeight="1" x14ac:dyDescent="0.3">
      <c r="A823432" s="17"/>
    </row>
    <row r="823724" spans="1:1" ht="17.100000000000001" customHeight="1" x14ac:dyDescent="0.3">
      <c r="A823724" s="17"/>
    </row>
    <row r="824016" spans="1:1" ht="17.100000000000001" customHeight="1" x14ac:dyDescent="0.3">
      <c r="A824016" s="17"/>
    </row>
    <row r="824308" spans="1:1" ht="17.100000000000001" customHeight="1" x14ac:dyDescent="0.3">
      <c r="A824308" s="17"/>
    </row>
    <row r="824600" spans="1:1" ht="17.100000000000001" customHeight="1" x14ac:dyDescent="0.3">
      <c r="A824600" s="17"/>
    </row>
    <row r="824892" spans="1:1" ht="17.100000000000001" customHeight="1" x14ac:dyDescent="0.3">
      <c r="A824892" s="17"/>
    </row>
    <row r="825184" spans="1:1" ht="17.100000000000001" customHeight="1" x14ac:dyDescent="0.3">
      <c r="A825184" s="17"/>
    </row>
    <row r="825476" spans="1:1" ht="17.100000000000001" customHeight="1" x14ac:dyDescent="0.3">
      <c r="A825476" s="17"/>
    </row>
    <row r="825768" spans="1:1" ht="17.100000000000001" customHeight="1" x14ac:dyDescent="0.3">
      <c r="A825768" s="17"/>
    </row>
    <row r="826060" spans="1:1" ht="17.100000000000001" customHeight="1" x14ac:dyDescent="0.3">
      <c r="A826060" s="17"/>
    </row>
    <row r="826352" spans="1:1" ht="17.100000000000001" customHeight="1" x14ac:dyDescent="0.3">
      <c r="A826352" s="17"/>
    </row>
    <row r="826644" spans="1:1" ht="17.100000000000001" customHeight="1" x14ac:dyDescent="0.3">
      <c r="A826644" s="17"/>
    </row>
    <row r="826936" spans="1:1" ht="17.100000000000001" customHeight="1" x14ac:dyDescent="0.3">
      <c r="A826936" s="17"/>
    </row>
    <row r="827228" spans="1:1" ht="17.100000000000001" customHeight="1" x14ac:dyDescent="0.3">
      <c r="A827228" s="17"/>
    </row>
    <row r="827520" spans="1:1" ht="17.100000000000001" customHeight="1" x14ac:dyDescent="0.3">
      <c r="A827520" s="17"/>
    </row>
    <row r="827812" spans="1:1" ht="17.100000000000001" customHeight="1" x14ac:dyDescent="0.3">
      <c r="A827812" s="17"/>
    </row>
    <row r="828104" spans="1:1" ht="17.100000000000001" customHeight="1" x14ac:dyDescent="0.3">
      <c r="A828104" s="17"/>
    </row>
    <row r="828396" spans="1:1" ht="17.100000000000001" customHeight="1" x14ac:dyDescent="0.3">
      <c r="A828396" s="17"/>
    </row>
    <row r="828688" spans="1:1" ht="17.100000000000001" customHeight="1" x14ac:dyDescent="0.3">
      <c r="A828688" s="17"/>
    </row>
    <row r="828980" spans="1:1" ht="17.100000000000001" customHeight="1" x14ac:dyDescent="0.3">
      <c r="A828980" s="17"/>
    </row>
    <row r="829272" spans="1:1" ht="17.100000000000001" customHeight="1" x14ac:dyDescent="0.3">
      <c r="A829272" s="17"/>
    </row>
    <row r="829564" spans="1:1" ht="17.100000000000001" customHeight="1" x14ac:dyDescent="0.3">
      <c r="A829564" s="17"/>
    </row>
    <row r="829856" spans="1:1" ht="17.100000000000001" customHeight="1" x14ac:dyDescent="0.3">
      <c r="A829856" s="17"/>
    </row>
    <row r="830148" spans="1:1" ht="17.100000000000001" customHeight="1" x14ac:dyDescent="0.3">
      <c r="A830148" s="17"/>
    </row>
    <row r="830440" spans="1:1" ht="17.100000000000001" customHeight="1" x14ac:dyDescent="0.3">
      <c r="A830440" s="17"/>
    </row>
    <row r="830732" spans="1:1" ht="17.100000000000001" customHeight="1" x14ac:dyDescent="0.3">
      <c r="A830732" s="17"/>
    </row>
    <row r="831024" spans="1:1" ht="17.100000000000001" customHeight="1" x14ac:dyDescent="0.3">
      <c r="A831024" s="17"/>
    </row>
    <row r="831316" spans="1:1" ht="17.100000000000001" customHeight="1" x14ac:dyDescent="0.3">
      <c r="A831316" s="17"/>
    </row>
    <row r="831608" spans="1:1" ht="17.100000000000001" customHeight="1" x14ac:dyDescent="0.3">
      <c r="A831608" s="17"/>
    </row>
    <row r="831900" spans="1:1" ht="17.100000000000001" customHeight="1" x14ac:dyDescent="0.3">
      <c r="A831900" s="17"/>
    </row>
    <row r="832192" spans="1:1" ht="17.100000000000001" customHeight="1" x14ac:dyDescent="0.3">
      <c r="A832192" s="17"/>
    </row>
    <row r="832484" spans="1:1" ht="17.100000000000001" customHeight="1" x14ac:dyDescent="0.3">
      <c r="A832484" s="17"/>
    </row>
    <row r="832776" spans="1:1" ht="17.100000000000001" customHeight="1" x14ac:dyDescent="0.3">
      <c r="A832776" s="17"/>
    </row>
    <row r="833068" spans="1:1" ht="17.100000000000001" customHeight="1" x14ac:dyDescent="0.3">
      <c r="A833068" s="17"/>
    </row>
    <row r="833360" spans="1:1" ht="17.100000000000001" customHeight="1" x14ac:dyDescent="0.3">
      <c r="A833360" s="17"/>
    </row>
    <row r="833652" spans="1:1" ht="17.100000000000001" customHeight="1" x14ac:dyDescent="0.3">
      <c r="A833652" s="17"/>
    </row>
    <row r="833944" spans="1:1" ht="17.100000000000001" customHeight="1" x14ac:dyDescent="0.3">
      <c r="A833944" s="17"/>
    </row>
    <row r="834236" spans="1:1" ht="17.100000000000001" customHeight="1" x14ac:dyDescent="0.3">
      <c r="A834236" s="17"/>
    </row>
    <row r="834528" spans="1:1" ht="17.100000000000001" customHeight="1" x14ac:dyDescent="0.3">
      <c r="A834528" s="17"/>
    </row>
    <row r="834820" spans="1:1" ht="17.100000000000001" customHeight="1" x14ac:dyDescent="0.3">
      <c r="A834820" s="17"/>
    </row>
    <row r="835112" spans="1:1" ht="17.100000000000001" customHeight="1" x14ac:dyDescent="0.3">
      <c r="A835112" s="17"/>
    </row>
    <row r="835404" spans="1:1" ht="17.100000000000001" customHeight="1" x14ac:dyDescent="0.3">
      <c r="A835404" s="17"/>
    </row>
    <row r="835696" spans="1:1" ht="17.100000000000001" customHeight="1" x14ac:dyDescent="0.3">
      <c r="A835696" s="17"/>
    </row>
    <row r="835988" spans="1:1" ht="17.100000000000001" customHeight="1" x14ac:dyDescent="0.3">
      <c r="A835988" s="17"/>
    </row>
    <row r="836280" spans="1:1" ht="17.100000000000001" customHeight="1" x14ac:dyDescent="0.3">
      <c r="A836280" s="17"/>
    </row>
    <row r="836572" spans="1:1" ht="17.100000000000001" customHeight="1" x14ac:dyDescent="0.3">
      <c r="A836572" s="17"/>
    </row>
    <row r="836864" spans="1:1" ht="17.100000000000001" customHeight="1" x14ac:dyDescent="0.3">
      <c r="A836864" s="17"/>
    </row>
    <row r="837156" spans="1:1" ht="17.100000000000001" customHeight="1" x14ac:dyDescent="0.3">
      <c r="A837156" s="17"/>
    </row>
    <row r="837448" spans="1:1" ht="17.100000000000001" customHeight="1" x14ac:dyDescent="0.3">
      <c r="A837448" s="17"/>
    </row>
    <row r="837740" spans="1:1" ht="17.100000000000001" customHeight="1" x14ac:dyDescent="0.3">
      <c r="A837740" s="17"/>
    </row>
    <row r="838032" spans="1:1" ht="17.100000000000001" customHeight="1" x14ac:dyDescent="0.3">
      <c r="A838032" s="17"/>
    </row>
    <row r="838324" spans="1:1" ht="17.100000000000001" customHeight="1" x14ac:dyDescent="0.3">
      <c r="A838324" s="17"/>
    </row>
    <row r="838616" spans="1:1" ht="17.100000000000001" customHeight="1" x14ac:dyDescent="0.3">
      <c r="A838616" s="17"/>
    </row>
    <row r="838908" spans="1:1" ht="17.100000000000001" customHeight="1" x14ac:dyDescent="0.3">
      <c r="A838908" s="17"/>
    </row>
    <row r="839200" spans="1:1" ht="17.100000000000001" customHeight="1" x14ac:dyDescent="0.3">
      <c r="A839200" s="17"/>
    </row>
    <row r="839492" spans="1:1" ht="17.100000000000001" customHeight="1" x14ac:dyDescent="0.3">
      <c r="A839492" s="17"/>
    </row>
    <row r="839784" spans="1:1" ht="17.100000000000001" customHeight="1" x14ac:dyDescent="0.3">
      <c r="A839784" s="17"/>
    </row>
    <row r="840076" spans="1:1" ht="17.100000000000001" customHeight="1" x14ac:dyDescent="0.3">
      <c r="A840076" s="17"/>
    </row>
    <row r="840368" spans="1:1" ht="17.100000000000001" customHeight="1" x14ac:dyDescent="0.3">
      <c r="A840368" s="17"/>
    </row>
    <row r="840660" spans="1:1" ht="17.100000000000001" customHeight="1" x14ac:dyDescent="0.3">
      <c r="A840660" s="17"/>
    </row>
    <row r="840952" spans="1:1" ht="17.100000000000001" customHeight="1" x14ac:dyDescent="0.3">
      <c r="A840952" s="17"/>
    </row>
    <row r="841244" spans="1:1" ht="17.100000000000001" customHeight="1" x14ac:dyDescent="0.3">
      <c r="A841244" s="17"/>
    </row>
    <row r="841536" spans="1:1" ht="17.100000000000001" customHeight="1" x14ac:dyDescent="0.3">
      <c r="A841536" s="17"/>
    </row>
    <row r="841828" spans="1:1" ht="17.100000000000001" customHeight="1" x14ac:dyDescent="0.3">
      <c r="A841828" s="17"/>
    </row>
    <row r="842120" spans="1:1" ht="17.100000000000001" customHeight="1" x14ac:dyDescent="0.3">
      <c r="A842120" s="17"/>
    </row>
    <row r="842412" spans="1:1" ht="17.100000000000001" customHeight="1" x14ac:dyDescent="0.3">
      <c r="A842412" s="17"/>
    </row>
    <row r="842704" spans="1:1" ht="17.100000000000001" customHeight="1" x14ac:dyDescent="0.3">
      <c r="A842704" s="17"/>
    </row>
    <row r="842996" spans="1:1" ht="17.100000000000001" customHeight="1" x14ac:dyDescent="0.3">
      <c r="A842996" s="17"/>
    </row>
    <row r="843288" spans="1:1" ht="17.100000000000001" customHeight="1" x14ac:dyDescent="0.3">
      <c r="A843288" s="17"/>
    </row>
    <row r="843580" spans="1:1" ht="17.100000000000001" customHeight="1" x14ac:dyDescent="0.3">
      <c r="A843580" s="17"/>
    </row>
    <row r="843872" spans="1:1" ht="17.100000000000001" customHeight="1" x14ac:dyDescent="0.3">
      <c r="A843872" s="17"/>
    </row>
    <row r="844164" spans="1:1" ht="17.100000000000001" customHeight="1" x14ac:dyDescent="0.3">
      <c r="A844164" s="17"/>
    </row>
    <row r="844456" spans="1:1" ht="17.100000000000001" customHeight="1" x14ac:dyDescent="0.3">
      <c r="A844456" s="17"/>
    </row>
    <row r="844748" spans="1:1" ht="17.100000000000001" customHeight="1" x14ac:dyDescent="0.3">
      <c r="A844748" s="17"/>
    </row>
    <row r="845040" spans="1:1" ht="17.100000000000001" customHeight="1" x14ac:dyDescent="0.3">
      <c r="A845040" s="17"/>
    </row>
    <row r="845332" spans="1:1" ht="17.100000000000001" customHeight="1" x14ac:dyDescent="0.3">
      <c r="A845332" s="17"/>
    </row>
    <row r="845624" spans="1:1" ht="17.100000000000001" customHeight="1" x14ac:dyDescent="0.3">
      <c r="A845624" s="17"/>
    </row>
    <row r="845916" spans="1:1" ht="17.100000000000001" customHeight="1" x14ac:dyDescent="0.3">
      <c r="A845916" s="17"/>
    </row>
    <row r="846208" spans="1:1" ht="17.100000000000001" customHeight="1" x14ac:dyDescent="0.3">
      <c r="A846208" s="17"/>
    </row>
    <row r="846500" spans="1:1" ht="17.100000000000001" customHeight="1" x14ac:dyDescent="0.3">
      <c r="A846500" s="17"/>
    </row>
    <row r="846792" spans="1:1" ht="17.100000000000001" customHeight="1" x14ac:dyDescent="0.3">
      <c r="A846792" s="17"/>
    </row>
    <row r="847084" spans="1:1" ht="17.100000000000001" customHeight="1" x14ac:dyDescent="0.3">
      <c r="A847084" s="17"/>
    </row>
    <row r="847376" spans="1:1" ht="17.100000000000001" customHeight="1" x14ac:dyDescent="0.3">
      <c r="A847376" s="17"/>
    </row>
    <row r="847668" spans="1:1" ht="17.100000000000001" customHeight="1" x14ac:dyDescent="0.3">
      <c r="A847668" s="17"/>
    </row>
    <row r="847960" spans="1:1" ht="17.100000000000001" customHeight="1" x14ac:dyDescent="0.3">
      <c r="A847960" s="17"/>
    </row>
    <row r="848252" spans="1:1" ht="17.100000000000001" customHeight="1" x14ac:dyDescent="0.3">
      <c r="A848252" s="17"/>
    </row>
    <row r="848544" spans="1:1" ht="17.100000000000001" customHeight="1" x14ac:dyDescent="0.3">
      <c r="A848544" s="17"/>
    </row>
    <row r="848836" spans="1:1" ht="17.100000000000001" customHeight="1" x14ac:dyDescent="0.3">
      <c r="A848836" s="17"/>
    </row>
    <row r="849128" spans="1:1" ht="17.100000000000001" customHeight="1" x14ac:dyDescent="0.3">
      <c r="A849128" s="17"/>
    </row>
    <row r="849420" spans="1:1" ht="17.100000000000001" customHeight="1" x14ac:dyDescent="0.3">
      <c r="A849420" s="17"/>
    </row>
    <row r="849712" spans="1:1" ht="17.100000000000001" customHeight="1" x14ac:dyDescent="0.3">
      <c r="A849712" s="17"/>
    </row>
    <row r="850004" spans="1:1" ht="17.100000000000001" customHeight="1" x14ac:dyDescent="0.3">
      <c r="A850004" s="17"/>
    </row>
    <row r="850296" spans="1:1" ht="17.100000000000001" customHeight="1" x14ac:dyDescent="0.3">
      <c r="A850296" s="17"/>
    </row>
    <row r="850588" spans="1:1" ht="17.100000000000001" customHeight="1" x14ac:dyDescent="0.3">
      <c r="A850588" s="17"/>
    </row>
    <row r="850880" spans="1:1" ht="17.100000000000001" customHeight="1" x14ac:dyDescent="0.3">
      <c r="A850880" s="17"/>
    </row>
    <row r="851172" spans="1:1" ht="17.100000000000001" customHeight="1" x14ac:dyDescent="0.3">
      <c r="A851172" s="17"/>
    </row>
    <row r="851464" spans="1:1" ht="17.100000000000001" customHeight="1" x14ac:dyDescent="0.3">
      <c r="A851464" s="17"/>
    </row>
    <row r="851756" spans="1:1" ht="17.100000000000001" customHeight="1" x14ac:dyDescent="0.3">
      <c r="A851756" s="17"/>
    </row>
    <row r="852048" spans="1:1" ht="17.100000000000001" customHeight="1" x14ac:dyDescent="0.3">
      <c r="A852048" s="17"/>
    </row>
    <row r="852340" spans="1:1" ht="17.100000000000001" customHeight="1" x14ac:dyDescent="0.3">
      <c r="A852340" s="17"/>
    </row>
    <row r="852632" spans="1:1" ht="17.100000000000001" customHeight="1" x14ac:dyDescent="0.3">
      <c r="A852632" s="17"/>
    </row>
    <row r="852924" spans="1:1" ht="17.100000000000001" customHeight="1" x14ac:dyDescent="0.3">
      <c r="A852924" s="17"/>
    </row>
    <row r="853216" spans="1:1" ht="17.100000000000001" customHeight="1" x14ac:dyDescent="0.3">
      <c r="A853216" s="17"/>
    </row>
    <row r="853508" spans="1:1" ht="17.100000000000001" customHeight="1" x14ac:dyDescent="0.3">
      <c r="A853508" s="17"/>
    </row>
    <row r="853800" spans="1:1" ht="17.100000000000001" customHeight="1" x14ac:dyDescent="0.3">
      <c r="A853800" s="17"/>
    </row>
    <row r="854092" spans="1:1" ht="17.100000000000001" customHeight="1" x14ac:dyDescent="0.3">
      <c r="A854092" s="17"/>
    </row>
    <row r="854384" spans="1:1" ht="17.100000000000001" customHeight="1" x14ac:dyDescent="0.3">
      <c r="A854384" s="17"/>
    </row>
    <row r="854676" spans="1:1" ht="17.100000000000001" customHeight="1" x14ac:dyDescent="0.3">
      <c r="A854676" s="17"/>
    </row>
    <row r="854968" spans="1:1" ht="17.100000000000001" customHeight="1" x14ac:dyDescent="0.3">
      <c r="A854968" s="17"/>
    </row>
    <row r="855260" spans="1:1" ht="17.100000000000001" customHeight="1" x14ac:dyDescent="0.3">
      <c r="A855260" s="17"/>
    </row>
    <row r="855552" spans="1:1" ht="17.100000000000001" customHeight="1" x14ac:dyDescent="0.3">
      <c r="A855552" s="17"/>
    </row>
    <row r="855844" spans="1:1" ht="17.100000000000001" customHeight="1" x14ac:dyDescent="0.3">
      <c r="A855844" s="17"/>
    </row>
    <row r="856136" spans="1:1" ht="17.100000000000001" customHeight="1" x14ac:dyDescent="0.3">
      <c r="A856136" s="17"/>
    </row>
    <row r="856428" spans="1:1" ht="17.100000000000001" customHeight="1" x14ac:dyDescent="0.3">
      <c r="A856428" s="17"/>
    </row>
    <row r="856720" spans="1:1" ht="17.100000000000001" customHeight="1" x14ac:dyDescent="0.3">
      <c r="A856720" s="17"/>
    </row>
    <row r="857012" spans="1:1" ht="17.100000000000001" customHeight="1" x14ac:dyDescent="0.3">
      <c r="A857012" s="17"/>
    </row>
    <row r="857304" spans="1:1" ht="17.100000000000001" customHeight="1" x14ac:dyDescent="0.3">
      <c r="A857304" s="17"/>
    </row>
    <row r="857596" spans="1:1" ht="17.100000000000001" customHeight="1" x14ac:dyDescent="0.3">
      <c r="A857596" s="17"/>
    </row>
    <row r="857888" spans="1:1" ht="17.100000000000001" customHeight="1" x14ac:dyDescent="0.3">
      <c r="A857888" s="17"/>
    </row>
    <row r="858180" spans="1:1" ht="17.100000000000001" customHeight="1" x14ac:dyDescent="0.3">
      <c r="A858180" s="17"/>
    </row>
    <row r="858472" spans="1:1" ht="17.100000000000001" customHeight="1" x14ac:dyDescent="0.3">
      <c r="A858472" s="17"/>
    </row>
    <row r="858764" spans="1:1" ht="17.100000000000001" customHeight="1" x14ac:dyDescent="0.3">
      <c r="A858764" s="17"/>
    </row>
    <row r="859056" spans="1:1" ht="17.100000000000001" customHeight="1" x14ac:dyDescent="0.3">
      <c r="A859056" s="17"/>
    </row>
    <row r="859348" spans="1:1" ht="17.100000000000001" customHeight="1" x14ac:dyDescent="0.3">
      <c r="A859348" s="17"/>
    </row>
    <row r="859640" spans="1:1" ht="17.100000000000001" customHeight="1" x14ac:dyDescent="0.3">
      <c r="A859640" s="17"/>
    </row>
    <row r="859932" spans="1:1" ht="17.100000000000001" customHeight="1" x14ac:dyDescent="0.3">
      <c r="A859932" s="17"/>
    </row>
    <row r="860224" spans="1:1" ht="17.100000000000001" customHeight="1" x14ac:dyDescent="0.3">
      <c r="A860224" s="17"/>
    </row>
    <row r="860516" spans="1:1" ht="17.100000000000001" customHeight="1" x14ac:dyDescent="0.3">
      <c r="A860516" s="17"/>
    </row>
    <row r="860808" spans="1:1" ht="17.100000000000001" customHeight="1" x14ac:dyDescent="0.3">
      <c r="A860808" s="17"/>
    </row>
    <row r="861100" spans="1:1" ht="17.100000000000001" customHeight="1" x14ac:dyDescent="0.3">
      <c r="A861100" s="17"/>
    </row>
    <row r="861392" spans="1:1" ht="17.100000000000001" customHeight="1" x14ac:dyDescent="0.3">
      <c r="A861392" s="17"/>
    </row>
    <row r="861684" spans="1:1" ht="17.100000000000001" customHeight="1" x14ac:dyDescent="0.3">
      <c r="A861684" s="17"/>
    </row>
    <row r="861976" spans="1:1" ht="17.100000000000001" customHeight="1" x14ac:dyDescent="0.3">
      <c r="A861976" s="17"/>
    </row>
    <row r="862268" spans="1:1" ht="17.100000000000001" customHeight="1" x14ac:dyDescent="0.3">
      <c r="A862268" s="17"/>
    </row>
    <row r="862560" spans="1:1" ht="17.100000000000001" customHeight="1" x14ac:dyDescent="0.3">
      <c r="A862560" s="17"/>
    </row>
    <row r="862852" spans="1:1" ht="17.100000000000001" customHeight="1" x14ac:dyDescent="0.3">
      <c r="A862852" s="17"/>
    </row>
    <row r="863144" spans="1:1" ht="17.100000000000001" customHeight="1" x14ac:dyDescent="0.3">
      <c r="A863144" s="17"/>
    </row>
    <row r="863436" spans="1:1" ht="17.100000000000001" customHeight="1" x14ac:dyDescent="0.3">
      <c r="A863436" s="17"/>
    </row>
    <row r="863728" spans="1:1" ht="17.100000000000001" customHeight="1" x14ac:dyDescent="0.3">
      <c r="A863728" s="17"/>
    </row>
    <row r="864020" spans="1:1" ht="17.100000000000001" customHeight="1" x14ac:dyDescent="0.3">
      <c r="A864020" s="17"/>
    </row>
    <row r="864312" spans="1:1" ht="17.100000000000001" customHeight="1" x14ac:dyDescent="0.3">
      <c r="A864312" s="17"/>
    </row>
    <row r="864604" spans="1:1" ht="17.100000000000001" customHeight="1" x14ac:dyDescent="0.3">
      <c r="A864604" s="17"/>
    </row>
    <row r="864896" spans="1:1" ht="17.100000000000001" customHeight="1" x14ac:dyDescent="0.3">
      <c r="A864896" s="17"/>
    </row>
    <row r="865188" spans="1:1" ht="17.100000000000001" customHeight="1" x14ac:dyDescent="0.3">
      <c r="A865188" s="17"/>
    </row>
    <row r="865480" spans="1:1" ht="17.100000000000001" customHeight="1" x14ac:dyDescent="0.3">
      <c r="A865480" s="17"/>
    </row>
    <row r="865772" spans="1:1" ht="17.100000000000001" customHeight="1" x14ac:dyDescent="0.3">
      <c r="A865772" s="17"/>
    </row>
    <row r="866064" spans="1:1" ht="17.100000000000001" customHeight="1" x14ac:dyDescent="0.3">
      <c r="A866064" s="17"/>
    </row>
    <row r="866356" spans="1:1" ht="17.100000000000001" customHeight="1" x14ac:dyDescent="0.3">
      <c r="A866356" s="17"/>
    </row>
    <row r="866648" spans="1:1" ht="17.100000000000001" customHeight="1" x14ac:dyDescent="0.3">
      <c r="A866648" s="17"/>
    </row>
    <row r="866940" spans="1:1" ht="17.100000000000001" customHeight="1" x14ac:dyDescent="0.3">
      <c r="A866940" s="17"/>
    </row>
    <row r="867232" spans="1:1" ht="17.100000000000001" customHeight="1" x14ac:dyDescent="0.3">
      <c r="A867232" s="17"/>
    </row>
    <row r="867524" spans="1:1" ht="17.100000000000001" customHeight="1" x14ac:dyDescent="0.3">
      <c r="A867524" s="17"/>
    </row>
    <row r="867816" spans="1:1" ht="17.100000000000001" customHeight="1" x14ac:dyDescent="0.3">
      <c r="A867816" s="17"/>
    </row>
    <row r="868108" spans="1:1" ht="17.100000000000001" customHeight="1" x14ac:dyDescent="0.3">
      <c r="A868108" s="17"/>
    </row>
    <row r="868400" spans="1:1" ht="17.100000000000001" customHeight="1" x14ac:dyDescent="0.3">
      <c r="A868400" s="17"/>
    </row>
    <row r="868692" spans="1:1" ht="17.100000000000001" customHeight="1" x14ac:dyDescent="0.3">
      <c r="A868692" s="17"/>
    </row>
    <row r="868984" spans="1:1" ht="17.100000000000001" customHeight="1" x14ac:dyDescent="0.3">
      <c r="A868984" s="17"/>
    </row>
    <row r="869276" spans="1:1" ht="17.100000000000001" customHeight="1" x14ac:dyDescent="0.3">
      <c r="A869276" s="17"/>
    </row>
    <row r="869568" spans="1:1" ht="17.100000000000001" customHeight="1" x14ac:dyDescent="0.3">
      <c r="A869568" s="17"/>
    </row>
    <row r="869860" spans="1:1" ht="17.100000000000001" customHeight="1" x14ac:dyDescent="0.3">
      <c r="A869860" s="17"/>
    </row>
    <row r="870152" spans="1:1" ht="17.100000000000001" customHeight="1" x14ac:dyDescent="0.3">
      <c r="A870152" s="17"/>
    </row>
    <row r="870444" spans="1:1" ht="17.100000000000001" customHeight="1" x14ac:dyDescent="0.3">
      <c r="A870444" s="17"/>
    </row>
    <row r="870736" spans="1:1" ht="17.100000000000001" customHeight="1" x14ac:dyDescent="0.3">
      <c r="A870736" s="17"/>
    </row>
    <row r="871028" spans="1:1" ht="17.100000000000001" customHeight="1" x14ac:dyDescent="0.3">
      <c r="A871028" s="17"/>
    </row>
    <row r="871320" spans="1:1" ht="17.100000000000001" customHeight="1" x14ac:dyDescent="0.3">
      <c r="A871320" s="17"/>
    </row>
    <row r="871612" spans="1:1" ht="17.100000000000001" customHeight="1" x14ac:dyDescent="0.3">
      <c r="A871612" s="17"/>
    </row>
    <row r="871904" spans="1:1" ht="17.100000000000001" customHeight="1" x14ac:dyDescent="0.3">
      <c r="A871904" s="17"/>
    </row>
    <row r="872196" spans="1:1" ht="17.100000000000001" customHeight="1" x14ac:dyDescent="0.3">
      <c r="A872196" s="17"/>
    </row>
    <row r="872488" spans="1:1" ht="17.100000000000001" customHeight="1" x14ac:dyDescent="0.3">
      <c r="A872488" s="17"/>
    </row>
    <row r="872780" spans="1:1" ht="17.100000000000001" customHeight="1" x14ac:dyDescent="0.3">
      <c r="A872780" s="17"/>
    </row>
    <row r="873072" spans="1:1" ht="17.100000000000001" customHeight="1" x14ac:dyDescent="0.3">
      <c r="A873072" s="17"/>
    </row>
    <row r="873364" spans="1:1" ht="17.100000000000001" customHeight="1" x14ac:dyDescent="0.3">
      <c r="A873364" s="17"/>
    </row>
    <row r="873656" spans="1:1" ht="17.100000000000001" customHeight="1" x14ac:dyDescent="0.3">
      <c r="A873656" s="17"/>
    </row>
    <row r="873948" spans="1:1" ht="17.100000000000001" customHeight="1" x14ac:dyDescent="0.3">
      <c r="A873948" s="17"/>
    </row>
    <row r="874240" spans="1:1" ht="17.100000000000001" customHeight="1" x14ac:dyDescent="0.3">
      <c r="A874240" s="17"/>
    </row>
    <row r="874532" spans="1:1" ht="17.100000000000001" customHeight="1" x14ac:dyDescent="0.3">
      <c r="A874532" s="17"/>
    </row>
    <row r="874824" spans="1:1" ht="17.100000000000001" customHeight="1" x14ac:dyDescent="0.3">
      <c r="A874824" s="17"/>
    </row>
    <row r="875116" spans="1:1" ht="17.100000000000001" customHeight="1" x14ac:dyDescent="0.3">
      <c r="A875116" s="17"/>
    </row>
    <row r="875408" spans="1:1" ht="17.100000000000001" customHeight="1" x14ac:dyDescent="0.3">
      <c r="A875408" s="17"/>
    </row>
    <row r="875700" spans="1:1" ht="17.100000000000001" customHeight="1" x14ac:dyDescent="0.3">
      <c r="A875700" s="17"/>
    </row>
    <row r="875992" spans="1:1" ht="17.100000000000001" customHeight="1" x14ac:dyDescent="0.3">
      <c r="A875992" s="17"/>
    </row>
    <row r="876284" spans="1:1" ht="17.100000000000001" customHeight="1" x14ac:dyDescent="0.3">
      <c r="A876284" s="17"/>
    </row>
    <row r="876576" spans="1:1" ht="17.100000000000001" customHeight="1" x14ac:dyDescent="0.3">
      <c r="A876576" s="17"/>
    </row>
    <row r="876868" spans="1:1" ht="17.100000000000001" customHeight="1" x14ac:dyDescent="0.3">
      <c r="A876868" s="17"/>
    </row>
    <row r="877160" spans="1:1" ht="17.100000000000001" customHeight="1" x14ac:dyDescent="0.3">
      <c r="A877160" s="17"/>
    </row>
    <row r="877452" spans="1:1" ht="17.100000000000001" customHeight="1" x14ac:dyDescent="0.3">
      <c r="A877452" s="17"/>
    </row>
    <row r="877744" spans="1:1" ht="17.100000000000001" customHeight="1" x14ac:dyDescent="0.3">
      <c r="A877744" s="17"/>
    </row>
    <row r="878036" spans="1:1" ht="17.100000000000001" customHeight="1" x14ac:dyDescent="0.3">
      <c r="A878036" s="17"/>
    </row>
    <row r="878328" spans="1:1" ht="17.100000000000001" customHeight="1" x14ac:dyDescent="0.3">
      <c r="A878328" s="17"/>
    </row>
    <row r="878620" spans="1:1" ht="17.100000000000001" customHeight="1" x14ac:dyDescent="0.3">
      <c r="A878620" s="17"/>
    </row>
    <row r="878912" spans="1:1" ht="17.100000000000001" customHeight="1" x14ac:dyDescent="0.3">
      <c r="A878912" s="17"/>
    </row>
    <row r="879204" spans="1:1" ht="17.100000000000001" customHeight="1" x14ac:dyDescent="0.3">
      <c r="A879204" s="17"/>
    </row>
    <row r="879496" spans="1:1" ht="17.100000000000001" customHeight="1" x14ac:dyDescent="0.3">
      <c r="A879496" s="17"/>
    </row>
    <row r="879788" spans="1:1" ht="17.100000000000001" customHeight="1" x14ac:dyDescent="0.3">
      <c r="A879788" s="17"/>
    </row>
    <row r="880080" spans="1:1" ht="17.100000000000001" customHeight="1" x14ac:dyDescent="0.3">
      <c r="A880080" s="17"/>
    </row>
    <row r="880372" spans="1:1" ht="17.100000000000001" customHeight="1" x14ac:dyDescent="0.3">
      <c r="A880372" s="17"/>
    </row>
    <row r="880664" spans="1:1" ht="17.100000000000001" customHeight="1" x14ac:dyDescent="0.3">
      <c r="A880664" s="17"/>
    </row>
    <row r="880956" spans="1:1" ht="17.100000000000001" customHeight="1" x14ac:dyDescent="0.3">
      <c r="A880956" s="17"/>
    </row>
    <row r="881248" spans="1:1" ht="17.100000000000001" customHeight="1" x14ac:dyDescent="0.3">
      <c r="A881248" s="17"/>
    </row>
    <row r="881540" spans="1:1" ht="17.100000000000001" customHeight="1" x14ac:dyDescent="0.3">
      <c r="A881540" s="17"/>
    </row>
    <row r="881832" spans="1:1" ht="17.100000000000001" customHeight="1" x14ac:dyDescent="0.3">
      <c r="A881832" s="17"/>
    </row>
    <row r="882124" spans="1:1" ht="17.100000000000001" customHeight="1" x14ac:dyDescent="0.3">
      <c r="A882124" s="17"/>
    </row>
    <row r="882416" spans="1:1" ht="17.100000000000001" customHeight="1" x14ac:dyDescent="0.3">
      <c r="A882416" s="17"/>
    </row>
    <row r="882708" spans="1:1" ht="17.100000000000001" customHeight="1" x14ac:dyDescent="0.3">
      <c r="A882708" s="17"/>
    </row>
    <row r="883000" spans="1:1" ht="17.100000000000001" customHeight="1" x14ac:dyDescent="0.3">
      <c r="A883000" s="17"/>
    </row>
    <row r="883292" spans="1:1" ht="17.100000000000001" customHeight="1" x14ac:dyDescent="0.3">
      <c r="A883292" s="17"/>
    </row>
    <row r="883584" spans="1:1" ht="17.100000000000001" customHeight="1" x14ac:dyDescent="0.3">
      <c r="A883584" s="17"/>
    </row>
    <row r="883876" spans="1:1" ht="17.100000000000001" customHeight="1" x14ac:dyDescent="0.3">
      <c r="A883876" s="17"/>
    </row>
    <row r="884168" spans="1:1" ht="17.100000000000001" customHeight="1" x14ac:dyDescent="0.3">
      <c r="A884168" s="17"/>
    </row>
    <row r="884460" spans="1:1" ht="17.100000000000001" customHeight="1" x14ac:dyDescent="0.3">
      <c r="A884460" s="17"/>
    </row>
    <row r="884752" spans="1:1" ht="17.100000000000001" customHeight="1" x14ac:dyDescent="0.3">
      <c r="A884752" s="17"/>
    </row>
    <row r="885044" spans="1:1" ht="17.100000000000001" customHeight="1" x14ac:dyDescent="0.3">
      <c r="A885044" s="17"/>
    </row>
    <row r="885336" spans="1:1" ht="17.100000000000001" customHeight="1" x14ac:dyDescent="0.3">
      <c r="A885336" s="17"/>
    </row>
    <row r="885628" spans="1:1" ht="17.100000000000001" customHeight="1" x14ac:dyDescent="0.3">
      <c r="A885628" s="17"/>
    </row>
    <row r="885920" spans="1:1" ht="17.100000000000001" customHeight="1" x14ac:dyDescent="0.3">
      <c r="A885920" s="17"/>
    </row>
    <row r="886212" spans="1:1" ht="17.100000000000001" customHeight="1" x14ac:dyDescent="0.3">
      <c r="A886212" s="17"/>
    </row>
    <row r="886504" spans="1:1" ht="17.100000000000001" customHeight="1" x14ac:dyDescent="0.3">
      <c r="A886504" s="17"/>
    </row>
    <row r="886796" spans="1:1" ht="17.100000000000001" customHeight="1" x14ac:dyDescent="0.3">
      <c r="A886796" s="17"/>
    </row>
    <row r="887088" spans="1:1" ht="17.100000000000001" customHeight="1" x14ac:dyDescent="0.3">
      <c r="A887088" s="17"/>
    </row>
    <row r="887380" spans="1:1" ht="17.100000000000001" customHeight="1" x14ac:dyDescent="0.3">
      <c r="A887380" s="17"/>
    </row>
    <row r="887672" spans="1:1" ht="17.100000000000001" customHeight="1" x14ac:dyDescent="0.3">
      <c r="A887672" s="17"/>
    </row>
    <row r="887964" spans="1:1" ht="17.100000000000001" customHeight="1" x14ac:dyDescent="0.3">
      <c r="A887964" s="17"/>
    </row>
    <row r="888256" spans="1:1" ht="17.100000000000001" customHeight="1" x14ac:dyDescent="0.3">
      <c r="A888256" s="17"/>
    </row>
    <row r="888548" spans="1:1" ht="17.100000000000001" customHeight="1" x14ac:dyDescent="0.3">
      <c r="A888548" s="17"/>
    </row>
    <row r="888840" spans="1:1" ht="17.100000000000001" customHeight="1" x14ac:dyDescent="0.3">
      <c r="A888840" s="17"/>
    </row>
    <row r="889132" spans="1:1" ht="17.100000000000001" customHeight="1" x14ac:dyDescent="0.3">
      <c r="A889132" s="17"/>
    </row>
    <row r="889424" spans="1:1" ht="17.100000000000001" customHeight="1" x14ac:dyDescent="0.3">
      <c r="A889424" s="17"/>
    </row>
    <row r="889716" spans="1:1" ht="17.100000000000001" customHeight="1" x14ac:dyDescent="0.3">
      <c r="A889716" s="17"/>
    </row>
    <row r="890008" spans="1:1" ht="17.100000000000001" customHeight="1" x14ac:dyDescent="0.3">
      <c r="A890008" s="17"/>
    </row>
    <row r="890300" spans="1:1" ht="17.100000000000001" customHeight="1" x14ac:dyDescent="0.3">
      <c r="A890300" s="17"/>
    </row>
    <row r="890592" spans="1:1" ht="17.100000000000001" customHeight="1" x14ac:dyDescent="0.3">
      <c r="A890592" s="17"/>
    </row>
    <row r="890884" spans="1:1" ht="17.100000000000001" customHeight="1" x14ac:dyDescent="0.3">
      <c r="A890884" s="17"/>
    </row>
    <row r="891176" spans="1:1" ht="17.100000000000001" customHeight="1" x14ac:dyDescent="0.3">
      <c r="A891176" s="17"/>
    </row>
    <row r="891468" spans="1:1" ht="17.100000000000001" customHeight="1" x14ac:dyDescent="0.3">
      <c r="A891468" s="17"/>
    </row>
    <row r="891760" spans="1:1" ht="17.100000000000001" customHeight="1" x14ac:dyDescent="0.3">
      <c r="A891760" s="17"/>
    </row>
    <row r="892052" spans="1:1" ht="17.100000000000001" customHeight="1" x14ac:dyDescent="0.3">
      <c r="A892052" s="17"/>
    </row>
    <row r="892344" spans="1:1" ht="17.100000000000001" customHeight="1" x14ac:dyDescent="0.3">
      <c r="A892344" s="17"/>
    </row>
    <row r="892636" spans="1:1" ht="17.100000000000001" customHeight="1" x14ac:dyDescent="0.3">
      <c r="A892636" s="17"/>
    </row>
    <row r="892928" spans="1:1" ht="17.100000000000001" customHeight="1" x14ac:dyDescent="0.3">
      <c r="A892928" s="17"/>
    </row>
    <row r="893220" spans="1:1" ht="17.100000000000001" customHeight="1" x14ac:dyDescent="0.3">
      <c r="A893220" s="17"/>
    </row>
    <row r="893512" spans="1:1" ht="17.100000000000001" customHeight="1" x14ac:dyDescent="0.3">
      <c r="A893512" s="17"/>
    </row>
    <row r="893804" spans="1:1" ht="17.100000000000001" customHeight="1" x14ac:dyDescent="0.3">
      <c r="A893804" s="17"/>
    </row>
    <row r="894096" spans="1:1" ht="17.100000000000001" customHeight="1" x14ac:dyDescent="0.3">
      <c r="A894096" s="17"/>
    </row>
    <row r="894388" spans="1:1" ht="17.100000000000001" customHeight="1" x14ac:dyDescent="0.3">
      <c r="A894388" s="17"/>
    </row>
    <row r="894680" spans="1:1" ht="17.100000000000001" customHeight="1" x14ac:dyDescent="0.3">
      <c r="A894680" s="17"/>
    </row>
    <row r="894972" spans="1:1" ht="17.100000000000001" customHeight="1" x14ac:dyDescent="0.3">
      <c r="A894972" s="17"/>
    </row>
    <row r="895264" spans="1:1" ht="17.100000000000001" customHeight="1" x14ac:dyDescent="0.3">
      <c r="A895264" s="17"/>
    </row>
    <row r="895556" spans="1:1" ht="17.100000000000001" customHeight="1" x14ac:dyDescent="0.3">
      <c r="A895556" s="17"/>
    </row>
    <row r="895848" spans="1:1" ht="17.100000000000001" customHeight="1" x14ac:dyDescent="0.3">
      <c r="A895848" s="17"/>
    </row>
    <row r="896140" spans="1:1" ht="17.100000000000001" customHeight="1" x14ac:dyDescent="0.3">
      <c r="A896140" s="17"/>
    </row>
    <row r="896432" spans="1:1" ht="17.100000000000001" customHeight="1" x14ac:dyDescent="0.3">
      <c r="A896432" s="17"/>
    </row>
    <row r="896724" spans="1:1" ht="17.100000000000001" customHeight="1" x14ac:dyDescent="0.3">
      <c r="A896724" s="17"/>
    </row>
    <row r="897016" spans="1:1" ht="17.100000000000001" customHeight="1" x14ac:dyDescent="0.3">
      <c r="A897016" s="17"/>
    </row>
    <row r="897308" spans="1:1" ht="17.100000000000001" customHeight="1" x14ac:dyDescent="0.3">
      <c r="A897308" s="17"/>
    </row>
    <row r="897600" spans="1:1" ht="17.100000000000001" customHeight="1" x14ac:dyDescent="0.3">
      <c r="A897600" s="17"/>
    </row>
    <row r="897892" spans="1:1" ht="17.100000000000001" customHeight="1" x14ac:dyDescent="0.3">
      <c r="A897892" s="17"/>
    </row>
    <row r="898184" spans="1:1" ht="17.100000000000001" customHeight="1" x14ac:dyDescent="0.3">
      <c r="A898184" s="17"/>
    </row>
    <row r="898476" spans="1:1" ht="17.100000000000001" customHeight="1" x14ac:dyDescent="0.3">
      <c r="A898476" s="17"/>
    </row>
    <row r="898768" spans="1:1" ht="17.100000000000001" customHeight="1" x14ac:dyDescent="0.3">
      <c r="A898768" s="17"/>
    </row>
    <row r="899060" spans="1:1" ht="17.100000000000001" customHeight="1" x14ac:dyDescent="0.3">
      <c r="A899060" s="17"/>
    </row>
    <row r="899352" spans="1:1" ht="17.100000000000001" customHeight="1" x14ac:dyDescent="0.3">
      <c r="A899352" s="17"/>
    </row>
    <row r="899644" spans="1:1" ht="17.100000000000001" customHeight="1" x14ac:dyDescent="0.3">
      <c r="A899644" s="17"/>
    </row>
    <row r="899936" spans="1:1" ht="17.100000000000001" customHeight="1" x14ac:dyDescent="0.3">
      <c r="A899936" s="17"/>
    </row>
    <row r="900228" spans="1:1" ht="17.100000000000001" customHeight="1" x14ac:dyDescent="0.3">
      <c r="A900228" s="17"/>
    </row>
    <row r="900520" spans="1:1" ht="17.100000000000001" customHeight="1" x14ac:dyDescent="0.3">
      <c r="A900520" s="17"/>
    </row>
    <row r="900812" spans="1:1" ht="17.100000000000001" customHeight="1" x14ac:dyDescent="0.3">
      <c r="A900812" s="17"/>
    </row>
    <row r="901104" spans="1:1" ht="17.100000000000001" customHeight="1" x14ac:dyDescent="0.3">
      <c r="A901104" s="17"/>
    </row>
    <row r="901396" spans="1:1" ht="17.100000000000001" customHeight="1" x14ac:dyDescent="0.3">
      <c r="A901396" s="17"/>
    </row>
    <row r="901688" spans="1:1" ht="17.100000000000001" customHeight="1" x14ac:dyDescent="0.3">
      <c r="A901688" s="17"/>
    </row>
    <row r="901980" spans="1:1" ht="17.100000000000001" customHeight="1" x14ac:dyDescent="0.3">
      <c r="A901980" s="17"/>
    </row>
    <row r="902272" spans="1:1" ht="17.100000000000001" customHeight="1" x14ac:dyDescent="0.3">
      <c r="A902272" s="17"/>
    </row>
    <row r="902564" spans="1:1" ht="17.100000000000001" customHeight="1" x14ac:dyDescent="0.3">
      <c r="A902564" s="17"/>
    </row>
    <row r="902856" spans="1:1" ht="17.100000000000001" customHeight="1" x14ac:dyDescent="0.3">
      <c r="A902856" s="17"/>
    </row>
    <row r="903148" spans="1:1" ht="17.100000000000001" customHeight="1" x14ac:dyDescent="0.3">
      <c r="A903148" s="17"/>
    </row>
    <row r="903440" spans="1:1" ht="17.100000000000001" customHeight="1" x14ac:dyDescent="0.3">
      <c r="A903440" s="17"/>
    </row>
    <row r="903732" spans="1:1" ht="17.100000000000001" customHeight="1" x14ac:dyDescent="0.3">
      <c r="A903732" s="17"/>
    </row>
    <row r="904024" spans="1:1" ht="17.100000000000001" customHeight="1" x14ac:dyDescent="0.3">
      <c r="A904024" s="17"/>
    </row>
    <row r="904316" spans="1:1" ht="17.100000000000001" customHeight="1" x14ac:dyDescent="0.3">
      <c r="A904316" s="17"/>
    </row>
    <row r="904608" spans="1:1" ht="17.100000000000001" customHeight="1" x14ac:dyDescent="0.3">
      <c r="A904608" s="17"/>
    </row>
    <row r="904900" spans="1:1" ht="17.100000000000001" customHeight="1" x14ac:dyDescent="0.3">
      <c r="A904900" s="17"/>
    </row>
    <row r="905192" spans="1:1" ht="17.100000000000001" customHeight="1" x14ac:dyDescent="0.3">
      <c r="A905192" s="17"/>
    </row>
    <row r="905484" spans="1:1" ht="17.100000000000001" customHeight="1" x14ac:dyDescent="0.3">
      <c r="A905484" s="17"/>
    </row>
    <row r="905776" spans="1:1" ht="17.100000000000001" customHeight="1" x14ac:dyDescent="0.3">
      <c r="A905776" s="17"/>
    </row>
    <row r="906068" spans="1:1" ht="17.100000000000001" customHeight="1" x14ac:dyDescent="0.3">
      <c r="A906068" s="17"/>
    </row>
    <row r="906360" spans="1:1" ht="17.100000000000001" customHeight="1" x14ac:dyDescent="0.3">
      <c r="A906360" s="17"/>
    </row>
    <row r="906652" spans="1:1" ht="17.100000000000001" customHeight="1" x14ac:dyDescent="0.3">
      <c r="A906652" s="17"/>
    </row>
    <row r="906944" spans="1:1" ht="17.100000000000001" customHeight="1" x14ac:dyDescent="0.3">
      <c r="A906944" s="17"/>
    </row>
    <row r="907236" spans="1:1" ht="17.100000000000001" customHeight="1" x14ac:dyDescent="0.3">
      <c r="A907236" s="17"/>
    </row>
    <row r="907528" spans="1:1" ht="17.100000000000001" customHeight="1" x14ac:dyDescent="0.3">
      <c r="A907528" s="17"/>
    </row>
    <row r="907820" spans="1:1" ht="17.100000000000001" customHeight="1" x14ac:dyDescent="0.3">
      <c r="A907820" s="17"/>
    </row>
    <row r="908112" spans="1:1" ht="17.100000000000001" customHeight="1" x14ac:dyDescent="0.3">
      <c r="A908112" s="17"/>
    </row>
    <row r="908404" spans="1:1" ht="17.100000000000001" customHeight="1" x14ac:dyDescent="0.3">
      <c r="A908404" s="17"/>
    </row>
    <row r="908696" spans="1:1" ht="17.100000000000001" customHeight="1" x14ac:dyDescent="0.3">
      <c r="A908696" s="17"/>
    </row>
    <row r="908988" spans="1:1" ht="17.100000000000001" customHeight="1" x14ac:dyDescent="0.3">
      <c r="A908988" s="17"/>
    </row>
    <row r="909280" spans="1:1" ht="17.100000000000001" customHeight="1" x14ac:dyDescent="0.3">
      <c r="A909280" s="17"/>
    </row>
    <row r="909572" spans="1:1" ht="17.100000000000001" customHeight="1" x14ac:dyDescent="0.3">
      <c r="A909572" s="17"/>
    </row>
    <row r="909864" spans="1:1" ht="17.100000000000001" customHeight="1" x14ac:dyDescent="0.3">
      <c r="A909864" s="17"/>
    </row>
    <row r="910156" spans="1:1" ht="17.100000000000001" customHeight="1" x14ac:dyDescent="0.3">
      <c r="A910156" s="17"/>
    </row>
    <row r="910448" spans="1:1" ht="17.100000000000001" customHeight="1" x14ac:dyDescent="0.3">
      <c r="A910448" s="17"/>
    </row>
    <row r="910740" spans="1:1" ht="17.100000000000001" customHeight="1" x14ac:dyDescent="0.3">
      <c r="A910740" s="17"/>
    </row>
    <row r="911032" spans="1:1" ht="17.100000000000001" customHeight="1" x14ac:dyDescent="0.3">
      <c r="A911032" s="17"/>
    </row>
    <row r="911324" spans="1:1" ht="17.100000000000001" customHeight="1" x14ac:dyDescent="0.3">
      <c r="A911324" s="17"/>
    </row>
    <row r="911616" spans="1:1" ht="17.100000000000001" customHeight="1" x14ac:dyDescent="0.3">
      <c r="A911616" s="17"/>
    </row>
    <row r="911908" spans="1:1" ht="17.100000000000001" customHeight="1" x14ac:dyDescent="0.3">
      <c r="A911908" s="17"/>
    </row>
    <row r="912200" spans="1:1" ht="17.100000000000001" customHeight="1" x14ac:dyDescent="0.3">
      <c r="A912200" s="17"/>
    </row>
    <row r="912492" spans="1:1" ht="17.100000000000001" customHeight="1" x14ac:dyDescent="0.3">
      <c r="A912492" s="17"/>
    </row>
    <row r="912784" spans="1:1" ht="17.100000000000001" customHeight="1" x14ac:dyDescent="0.3">
      <c r="A912784" s="17"/>
    </row>
    <row r="913076" spans="1:1" ht="17.100000000000001" customHeight="1" x14ac:dyDescent="0.3">
      <c r="A913076" s="17"/>
    </row>
    <row r="913368" spans="1:1" ht="17.100000000000001" customHeight="1" x14ac:dyDescent="0.3">
      <c r="A913368" s="17"/>
    </row>
    <row r="913660" spans="1:1" ht="17.100000000000001" customHeight="1" x14ac:dyDescent="0.3">
      <c r="A913660" s="17"/>
    </row>
    <row r="913952" spans="1:1" ht="17.100000000000001" customHeight="1" x14ac:dyDescent="0.3">
      <c r="A913952" s="17"/>
    </row>
    <row r="914244" spans="1:1" ht="17.100000000000001" customHeight="1" x14ac:dyDescent="0.3">
      <c r="A914244" s="17"/>
    </row>
    <row r="914536" spans="1:1" ht="17.100000000000001" customHeight="1" x14ac:dyDescent="0.3">
      <c r="A914536" s="17"/>
    </row>
    <row r="914828" spans="1:1" ht="17.100000000000001" customHeight="1" x14ac:dyDescent="0.3">
      <c r="A914828" s="17"/>
    </row>
    <row r="915120" spans="1:1" ht="17.100000000000001" customHeight="1" x14ac:dyDescent="0.3">
      <c r="A915120" s="17"/>
    </row>
    <row r="915412" spans="1:1" ht="17.100000000000001" customHeight="1" x14ac:dyDescent="0.3">
      <c r="A915412" s="17"/>
    </row>
    <row r="915704" spans="1:1" ht="17.100000000000001" customHeight="1" x14ac:dyDescent="0.3">
      <c r="A915704" s="17"/>
    </row>
    <row r="915996" spans="1:1" ht="17.100000000000001" customHeight="1" x14ac:dyDescent="0.3">
      <c r="A915996" s="17"/>
    </row>
    <row r="916288" spans="1:1" ht="17.100000000000001" customHeight="1" x14ac:dyDescent="0.3">
      <c r="A916288" s="17"/>
    </row>
    <row r="916580" spans="1:1" ht="17.100000000000001" customHeight="1" x14ac:dyDescent="0.3">
      <c r="A916580" s="17"/>
    </row>
    <row r="916872" spans="1:1" ht="17.100000000000001" customHeight="1" x14ac:dyDescent="0.3">
      <c r="A916872" s="17"/>
    </row>
    <row r="917164" spans="1:1" ht="17.100000000000001" customHeight="1" x14ac:dyDescent="0.3">
      <c r="A917164" s="17"/>
    </row>
    <row r="917456" spans="1:1" ht="17.100000000000001" customHeight="1" x14ac:dyDescent="0.3">
      <c r="A917456" s="17"/>
    </row>
    <row r="917748" spans="1:1" ht="17.100000000000001" customHeight="1" x14ac:dyDescent="0.3">
      <c r="A917748" s="17"/>
    </row>
    <row r="918040" spans="1:1" ht="17.100000000000001" customHeight="1" x14ac:dyDescent="0.3">
      <c r="A918040" s="17"/>
    </row>
    <row r="918332" spans="1:1" ht="17.100000000000001" customHeight="1" x14ac:dyDescent="0.3">
      <c r="A918332" s="17"/>
    </row>
    <row r="918624" spans="1:1" ht="17.100000000000001" customHeight="1" x14ac:dyDescent="0.3">
      <c r="A918624" s="17"/>
    </row>
    <row r="918916" spans="1:1" ht="17.100000000000001" customHeight="1" x14ac:dyDescent="0.3">
      <c r="A918916" s="17"/>
    </row>
    <row r="919208" spans="1:1" ht="17.100000000000001" customHeight="1" x14ac:dyDescent="0.3">
      <c r="A919208" s="17"/>
    </row>
    <row r="919500" spans="1:1" ht="17.100000000000001" customHeight="1" x14ac:dyDescent="0.3">
      <c r="A919500" s="17"/>
    </row>
    <row r="919792" spans="1:1" ht="17.100000000000001" customHeight="1" x14ac:dyDescent="0.3">
      <c r="A919792" s="17"/>
    </row>
    <row r="920084" spans="1:1" ht="17.100000000000001" customHeight="1" x14ac:dyDescent="0.3">
      <c r="A920084" s="17"/>
    </row>
    <row r="920376" spans="1:1" ht="17.100000000000001" customHeight="1" x14ac:dyDescent="0.3">
      <c r="A920376" s="17"/>
    </row>
    <row r="920668" spans="1:1" ht="17.100000000000001" customHeight="1" x14ac:dyDescent="0.3">
      <c r="A920668" s="17"/>
    </row>
    <row r="920960" spans="1:1" ht="17.100000000000001" customHeight="1" x14ac:dyDescent="0.3">
      <c r="A920960" s="17"/>
    </row>
    <row r="921252" spans="1:1" ht="17.100000000000001" customHeight="1" x14ac:dyDescent="0.3">
      <c r="A921252" s="17"/>
    </row>
    <row r="921544" spans="1:1" ht="17.100000000000001" customHeight="1" x14ac:dyDescent="0.3">
      <c r="A921544" s="17"/>
    </row>
    <row r="921836" spans="1:1" ht="17.100000000000001" customHeight="1" x14ac:dyDescent="0.3">
      <c r="A921836" s="17"/>
    </row>
    <row r="922128" spans="1:1" ht="17.100000000000001" customHeight="1" x14ac:dyDescent="0.3">
      <c r="A922128" s="17"/>
    </row>
    <row r="922420" spans="1:1" ht="17.100000000000001" customHeight="1" x14ac:dyDescent="0.3">
      <c r="A922420" s="17"/>
    </row>
    <row r="922712" spans="1:1" ht="17.100000000000001" customHeight="1" x14ac:dyDescent="0.3">
      <c r="A922712" s="17"/>
    </row>
    <row r="923004" spans="1:1" ht="17.100000000000001" customHeight="1" x14ac:dyDescent="0.3">
      <c r="A923004" s="17"/>
    </row>
    <row r="923296" spans="1:1" ht="17.100000000000001" customHeight="1" x14ac:dyDescent="0.3">
      <c r="A923296" s="17"/>
    </row>
    <row r="923588" spans="1:1" ht="17.100000000000001" customHeight="1" x14ac:dyDescent="0.3">
      <c r="A923588" s="17"/>
    </row>
    <row r="923880" spans="1:1" ht="17.100000000000001" customHeight="1" x14ac:dyDescent="0.3">
      <c r="A923880" s="17"/>
    </row>
    <row r="924172" spans="1:1" ht="17.100000000000001" customHeight="1" x14ac:dyDescent="0.3">
      <c r="A924172" s="17"/>
    </row>
    <row r="924464" spans="1:1" ht="17.100000000000001" customHeight="1" x14ac:dyDescent="0.3">
      <c r="A924464" s="17"/>
    </row>
    <row r="924756" spans="1:1" ht="17.100000000000001" customHeight="1" x14ac:dyDescent="0.3">
      <c r="A924756" s="17"/>
    </row>
    <row r="925048" spans="1:1" ht="17.100000000000001" customHeight="1" x14ac:dyDescent="0.3">
      <c r="A925048" s="17"/>
    </row>
    <row r="925340" spans="1:1" ht="17.100000000000001" customHeight="1" x14ac:dyDescent="0.3">
      <c r="A925340" s="17"/>
    </row>
    <row r="925632" spans="1:1" ht="17.100000000000001" customHeight="1" x14ac:dyDescent="0.3">
      <c r="A925632" s="17"/>
    </row>
    <row r="925924" spans="1:1" ht="17.100000000000001" customHeight="1" x14ac:dyDescent="0.3">
      <c r="A925924" s="17"/>
    </row>
    <row r="926216" spans="1:1" ht="17.100000000000001" customHeight="1" x14ac:dyDescent="0.3">
      <c r="A926216" s="17"/>
    </row>
    <row r="926508" spans="1:1" ht="17.100000000000001" customHeight="1" x14ac:dyDescent="0.3">
      <c r="A926508" s="17"/>
    </row>
    <row r="926800" spans="1:1" ht="17.100000000000001" customHeight="1" x14ac:dyDescent="0.3">
      <c r="A926800" s="17"/>
    </row>
    <row r="927092" spans="1:1" ht="17.100000000000001" customHeight="1" x14ac:dyDescent="0.3">
      <c r="A927092" s="17"/>
    </row>
    <row r="927384" spans="1:1" ht="17.100000000000001" customHeight="1" x14ac:dyDescent="0.3">
      <c r="A927384" s="17"/>
    </row>
    <row r="927676" spans="1:1" ht="17.100000000000001" customHeight="1" x14ac:dyDescent="0.3">
      <c r="A927676" s="17"/>
    </row>
    <row r="927968" spans="1:1" ht="17.100000000000001" customHeight="1" x14ac:dyDescent="0.3">
      <c r="A927968" s="17"/>
    </row>
    <row r="928260" spans="1:1" ht="17.100000000000001" customHeight="1" x14ac:dyDescent="0.3">
      <c r="A928260" s="17"/>
    </row>
    <row r="928552" spans="1:1" ht="17.100000000000001" customHeight="1" x14ac:dyDescent="0.3">
      <c r="A928552" s="17"/>
    </row>
    <row r="928844" spans="1:1" ht="17.100000000000001" customHeight="1" x14ac:dyDescent="0.3">
      <c r="A928844" s="17"/>
    </row>
    <row r="929136" spans="1:1" ht="17.100000000000001" customHeight="1" x14ac:dyDescent="0.3">
      <c r="A929136" s="17"/>
    </row>
    <row r="929428" spans="1:1" ht="17.100000000000001" customHeight="1" x14ac:dyDescent="0.3">
      <c r="A929428" s="17"/>
    </row>
    <row r="929720" spans="1:1" ht="17.100000000000001" customHeight="1" x14ac:dyDescent="0.3">
      <c r="A929720" s="17"/>
    </row>
    <row r="930012" spans="1:1" ht="17.100000000000001" customHeight="1" x14ac:dyDescent="0.3">
      <c r="A930012" s="17"/>
    </row>
    <row r="930304" spans="1:1" ht="17.100000000000001" customHeight="1" x14ac:dyDescent="0.3">
      <c r="A930304" s="17"/>
    </row>
    <row r="930596" spans="1:1" ht="17.100000000000001" customHeight="1" x14ac:dyDescent="0.3">
      <c r="A930596" s="17"/>
    </row>
    <row r="930888" spans="1:1" ht="17.100000000000001" customHeight="1" x14ac:dyDescent="0.3">
      <c r="A930888" s="17"/>
    </row>
    <row r="931180" spans="1:1" ht="17.100000000000001" customHeight="1" x14ac:dyDescent="0.3">
      <c r="A931180" s="17"/>
    </row>
    <row r="931472" spans="1:1" ht="17.100000000000001" customHeight="1" x14ac:dyDescent="0.3">
      <c r="A931472" s="17"/>
    </row>
    <row r="931764" spans="1:1" ht="17.100000000000001" customHeight="1" x14ac:dyDescent="0.3">
      <c r="A931764" s="17"/>
    </row>
    <row r="932056" spans="1:1" ht="17.100000000000001" customHeight="1" x14ac:dyDescent="0.3">
      <c r="A932056" s="17"/>
    </row>
    <row r="932348" spans="1:1" ht="17.100000000000001" customHeight="1" x14ac:dyDescent="0.3">
      <c r="A932348" s="17"/>
    </row>
    <row r="932640" spans="1:1" ht="17.100000000000001" customHeight="1" x14ac:dyDescent="0.3">
      <c r="A932640" s="17"/>
    </row>
    <row r="932932" spans="1:1" ht="17.100000000000001" customHeight="1" x14ac:dyDescent="0.3">
      <c r="A932932" s="17"/>
    </row>
    <row r="933224" spans="1:1" ht="17.100000000000001" customHeight="1" x14ac:dyDescent="0.3">
      <c r="A933224" s="17"/>
    </row>
    <row r="933516" spans="1:1" ht="17.100000000000001" customHeight="1" x14ac:dyDescent="0.3">
      <c r="A933516" s="17"/>
    </row>
    <row r="933808" spans="1:1" ht="17.100000000000001" customHeight="1" x14ac:dyDescent="0.3">
      <c r="A933808" s="17"/>
    </row>
    <row r="934100" spans="1:1" ht="17.100000000000001" customHeight="1" x14ac:dyDescent="0.3">
      <c r="A934100" s="17"/>
    </row>
    <row r="934392" spans="1:1" ht="17.100000000000001" customHeight="1" x14ac:dyDescent="0.3">
      <c r="A934392" s="17"/>
    </row>
    <row r="934684" spans="1:1" ht="17.100000000000001" customHeight="1" x14ac:dyDescent="0.3">
      <c r="A934684" s="17"/>
    </row>
    <row r="934976" spans="1:1" ht="17.100000000000001" customHeight="1" x14ac:dyDescent="0.3">
      <c r="A934976" s="17"/>
    </row>
    <row r="935268" spans="1:1" ht="17.100000000000001" customHeight="1" x14ac:dyDescent="0.3">
      <c r="A935268" s="17"/>
    </row>
    <row r="935560" spans="1:1" ht="17.100000000000001" customHeight="1" x14ac:dyDescent="0.3">
      <c r="A935560" s="17"/>
    </row>
    <row r="935852" spans="1:1" ht="17.100000000000001" customHeight="1" x14ac:dyDescent="0.3">
      <c r="A935852" s="17"/>
    </row>
    <row r="936144" spans="1:1" ht="17.100000000000001" customHeight="1" x14ac:dyDescent="0.3">
      <c r="A936144" s="17"/>
    </row>
    <row r="936436" spans="1:1" ht="17.100000000000001" customHeight="1" x14ac:dyDescent="0.3">
      <c r="A936436" s="17"/>
    </row>
    <row r="936728" spans="1:1" ht="17.100000000000001" customHeight="1" x14ac:dyDescent="0.3">
      <c r="A936728" s="17"/>
    </row>
    <row r="937020" spans="1:1" ht="17.100000000000001" customHeight="1" x14ac:dyDescent="0.3">
      <c r="A937020" s="17"/>
    </row>
    <row r="937312" spans="1:1" ht="17.100000000000001" customHeight="1" x14ac:dyDescent="0.3">
      <c r="A937312" s="17"/>
    </row>
    <row r="937604" spans="1:1" ht="17.100000000000001" customHeight="1" x14ac:dyDescent="0.3">
      <c r="A937604" s="17"/>
    </row>
    <row r="937896" spans="1:1" ht="17.100000000000001" customHeight="1" x14ac:dyDescent="0.3">
      <c r="A937896" s="17"/>
    </row>
    <row r="938188" spans="1:1" ht="17.100000000000001" customHeight="1" x14ac:dyDescent="0.3">
      <c r="A938188" s="17"/>
    </row>
    <row r="938480" spans="1:1" ht="17.100000000000001" customHeight="1" x14ac:dyDescent="0.3">
      <c r="A938480" s="17"/>
    </row>
    <row r="938772" spans="1:1" ht="17.100000000000001" customHeight="1" x14ac:dyDescent="0.3">
      <c r="A938772" s="17"/>
    </row>
    <row r="939064" spans="1:1" ht="17.100000000000001" customHeight="1" x14ac:dyDescent="0.3">
      <c r="A939064" s="17"/>
    </row>
    <row r="939356" spans="1:1" ht="17.100000000000001" customHeight="1" x14ac:dyDescent="0.3">
      <c r="A939356" s="17"/>
    </row>
    <row r="939648" spans="1:1" ht="17.100000000000001" customHeight="1" x14ac:dyDescent="0.3">
      <c r="A939648" s="17"/>
    </row>
    <row r="939940" spans="1:1" ht="17.100000000000001" customHeight="1" x14ac:dyDescent="0.3">
      <c r="A939940" s="17"/>
    </row>
    <row r="940232" spans="1:1" ht="17.100000000000001" customHeight="1" x14ac:dyDescent="0.3">
      <c r="A940232" s="17"/>
    </row>
    <row r="940524" spans="1:1" ht="17.100000000000001" customHeight="1" x14ac:dyDescent="0.3">
      <c r="A940524" s="17"/>
    </row>
    <row r="940816" spans="1:1" ht="17.100000000000001" customHeight="1" x14ac:dyDescent="0.3">
      <c r="A940816" s="17"/>
    </row>
    <row r="941108" spans="1:1" ht="17.100000000000001" customHeight="1" x14ac:dyDescent="0.3">
      <c r="A941108" s="17"/>
    </row>
    <row r="941400" spans="1:1" ht="17.100000000000001" customHeight="1" x14ac:dyDescent="0.3">
      <c r="A941400" s="17"/>
    </row>
    <row r="941692" spans="1:1" ht="17.100000000000001" customHeight="1" x14ac:dyDescent="0.3">
      <c r="A941692" s="17"/>
    </row>
    <row r="941984" spans="1:1" ht="17.100000000000001" customHeight="1" x14ac:dyDescent="0.3">
      <c r="A941984" s="17"/>
    </row>
    <row r="942276" spans="1:1" ht="17.100000000000001" customHeight="1" x14ac:dyDescent="0.3">
      <c r="A942276" s="17"/>
    </row>
    <row r="942568" spans="1:1" ht="17.100000000000001" customHeight="1" x14ac:dyDescent="0.3">
      <c r="A942568" s="17"/>
    </row>
    <row r="942860" spans="1:1" ht="17.100000000000001" customHeight="1" x14ac:dyDescent="0.3">
      <c r="A942860" s="17"/>
    </row>
    <row r="943152" spans="1:1" ht="17.100000000000001" customHeight="1" x14ac:dyDescent="0.3">
      <c r="A943152" s="17"/>
    </row>
    <row r="943444" spans="1:1" ht="17.100000000000001" customHeight="1" x14ac:dyDescent="0.3">
      <c r="A943444" s="17"/>
    </row>
    <row r="943736" spans="1:1" ht="17.100000000000001" customHeight="1" x14ac:dyDescent="0.3">
      <c r="A943736" s="17"/>
    </row>
    <row r="944028" spans="1:1" ht="17.100000000000001" customHeight="1" x14ac:dyDescent="0.3">
      <c r="A944028" s="17"/>
    </row>
    <row r="944320" spans="1:1" ht="17.100000000000001" customHeight="1" x14ac:dyDescent="0.3">
      <c r="A944320" s="17"/>
    </row>
    <row r="944612" spans="1:1" ht="17.100000000000001" customHeight="1" x14ac:dyDescent="0.3">
      <c r="A944612" s="17"/>
    </row>
    <row r="944904" spans="1:1" ht="17.100000000000001" customHeight="1" x14ac:dyDescent="0.3">
      <c r="A944904" s="17"/>
    </row>
    <row r="945196" spans="1:1" ht="17.100000000000001" customHeight="1" x14ac:dyDescent="0.3">
      <c r="A945196" s="17"/>
    </row>
    <row r="945488" spans="1:1" ht="17.100000000000001" customHeight="1" x14ac:dyDescent="0.3">
      <c r="A945488" s="17"/>
    </row>
    <row r="945780" spans="1:1" ht="17.100000000000001" customHeight="1" x14ac:dyDescent="0.3">
      <c r="A945780" s="17"/>
    </row>
    <row r="946072" spans="1:1" ht="17.100000000000001" customHeight="1" x14ac:dyDescent="0.3">
      <c r="A946072" s="17"/>
    </row>
    <row r="946364" spans="1:1" ht="17.100000000000001" customHeight="1" x14ac:dyDescent="0.3">
      <c r="A946364" s="17"/>
    </row>
    <row r="946656" spans="1:1" ht="17.100000000000001" customHeight="1" x14ac:dyDescent="0.3">
      <c r="A946656" s="17"/>
    </row>
    <row r="946948" spans="1:1" ht="17.100000000000001" customHeight="1" x14ac:dyDescent="0.3">
      <c r="A946948" s="17"/>
    </row>
    <row r="947240" spans="1:1" ht="17.100000000000001" customHeight="1" x14ac:dyDescent="0.3">
      <c r="A947240" s="17"/>
    </row>
    <row r="947532" spans="1:1" ht="17.100000000000001" customHeight="1" x14ac:dyDescent="0.3">
      <c r="A947532" s="17"/>
    </row>
    <row r="947824" spans="1:1" ht="17.100000000000001" customHeight="1" x14ac:dyDescent="0.3">
      <c r="A947824" s="17"/>
    </row>
    <row r="948116" spans="1:1" ht="17.100000000000001" customHeight="1" x14ac:dyDescent="0.3">
      <c r="A948116" s="17"/>
    </row>
    <row r="948408" spans="1:1" ht="17.100000000000001" customHeight="1" x14ac:dyDescent="0.3">
      <c r="A948408" s="17"/>
    </row>
    <row r="948700" spans="1:1" ht="17.100000000000001" customHeight="1" x14ac:dyDescent="0.3">
      <c r="A948700" s="17"/>
    </row>
    <row r="948992" spans="1:1" ht="17.100000000000001" customHeight="1" x14ac:dyDescent="0.3">
      <c r="A948992" s="17"/>
    </row>
    <row r="949284" spans="1:1" ht="17.100000000000001" customHeight="1" x14ac:dyDescent="0.3">
      <c r="A949284" s="17"/>
    </row>
    <row r="949576" spans="1:1" ht="17.100000000000001" customHeight="1" x14ac:dyDescent="0.3">
      <c r="A949576" s="17"/>
    </row>
    <row r="949868" spans="1:1" ht="17.100000000000001" customHeight="1" x14ac:dyDescent="0.3">
      <c r="A949868" s="17"/>
    </row>
    <row r="950160" spans="1:1" ht="17.100000000000001" customHeight="1" x14ac:dyDescent="0.3">
      <c r="A950160" s="17"/>
    </row>
    <row r="950452" spans="1:1" ht="17.100000000000001" customHeight="1" x14ac:dyDescent="0.3">
      <c r="A950452" s="17"/>
    </row>
    <row r="950744" spans="1:1" ht="17.100000000000001" customHeight="1" x14ac:dyDescent="0.3">
      <c r="A950744" s="17"/>
    </row>
    <row r="951036" spans="1:1" ht="17.100000000000001" customHeight="1" x14ac:dyDescent="0.3">
      <c r="A951036" s="17"/>
    </row>
    <row r="951328" spans="1:1" ht="17.100000000000001" customHeight="1" x14ac:dyDescent="0.3">
      <c r="A951328" s="17"/>
    </row>
    <row r="951620" spans="1:1" ht="17.100000000000001" customHeight="1" x14ac:dyDescent="0.3">
      <c r="A951620" s="17"/>
    </row>
    <row r="951912" spans="1:1" ht="17.100000000000001" customHeight="1" x14ac:dyDescent="0.3">
      <c r="A951912" s="17"/>
    </row>
    <row r="952204" spans="1:1" ht="17.100000000000001" customHeight="1" x14ac:dyDescent="0.3">
      <c r="A952204" s="17"/>
    </row>
    <row r="952496" spans="1:1" ht="17.100000000000001" customHeight="1" x14ac:dyDescent="0.3">
      <c r="A952496" s="17"/>
    </row>
    <row r="952788" spans="1:1" ht="17.100000000000001" customHeight="1" x14ac:dyDescent="0.3">
      <c r="A952788" s="17"/>
    </row>
    <row r="953080" spans="1:1" ht="17.100000000000001" customHeight="1" x14ac:dyDescent="0.3">
      <c r="A953080" s="17"/>
    </row>
    <row r="953372" spans="1:1" ht="17.100000000000001" customHeight="1" x14ac:dyDescent="0.3">
      <c r="A953372" s="17"/>
    </row>
    <row r="953664" spans="1:1" ht="17.100000000000001" customHeight="1" x14ac:dyDescent="0.3">
      <c r="A953664" s="17"/>
    </row>
    <row r="953956" spans="1:1" ht="17.100000000000001" customHeight="1" x14ac:dyDescent="0.3">
      <c r="A953956" s="17"/>
    </row>
    <row r="954248" spans="1:1" ht="17.100000000000001" customHeight="1" x14ac:dyDescent="0.3">
      <c r="A954248" s="17"/>
    </row>
    <row r="954540" spans="1:1" ht="17.100000000000001" customHeight="1" x14ac:dyDescent="0.3">
      <c r="A954540" s="17"/>
    </row>
    <row r="954832" spans="1:1" ht="17.100000000000001" customHeight="1" x14ac:dyDescent="0.3">
      <c r="A954832" s="17"/>
    </row>
    <row r="955124" spans="1:1" ht="17.100000000000001" customHeight="1" x14ac:dyDescent="0.3">
      <c r="A955124" s="17"/>
    </row>
    <row r="955416" spans="1:1" ht="17.100000000000001" customHeight="1" x14ac:dyDescent="0.3">
      <c r="A955416" s="17"/>
    </row>
    <row r="955708" spans="1:1" ht="17.100000000000001" customHeight="1" x14ac:dyDescent="0.3">
      <c r="A955708" s="17"/>
    </row>
    <row r="956000" spans="1:1" ht="17.100000000000001" customHeight="1" x14ac:dyDescent="0.3">
      <c r="A956000" s="17"/>
    </row>
    <row r="956292" spans="1:1" ht="17.100000000000001" customHeight="1" x14ac:dyDescent="0.3">
      <c r="A956292" s="17"/>
    </row>
    <row r="956584" spans="1:1" ht="17.100000000000001" customHeight="1" x14ac:dyDescent="0.3">
      <c r="A956584" s="17"/>
    </row>
    <row r="956876" spans="1:1" ht="17.100000000000001" customHeight="1" x14ac:dyDescent="0.3">
      <c r="A956876" s="17"/>
    </row>
    <row r="957168" spans="1:1" ht="17.100000000000001" customHeight="1" x14ac:dyDescent="0.3">
      <c r="A957168" s="17"/>
    </row>
    <row r="957460" spans="1:1" ht="17.100000000000001" customHeight="1" x14ac:dyDescent="0.3">
      <c r="A957460" s="17"/>
    </row>
    <row r="957752" spans="1:1" ht="17.100000000000001" customHeight="1" x14ac:dyDescent="0.3">
      <c r="A957752" s="17"/>
    </row>
    <row r="958044" spans="1:1" ht="17.100000000000001" customHeight="1" x14ac:dyDescent="0.3">
      <c r="A958044" s="17"/>
    </row>
    <row r="958336" spans="1:1" ht="17.100000000000001" customHeight="1" x14ac:dyDescent="0.3">
      <c r="A958336" s="17"/>
    </row>
    <row r="958628" spans="1:1" ht="17.100000000000001" customHeight="1" x14ac:dyDescent="0.3">
      <c r="A958628" s="17"/>
    </row>
    <row r="958920" spans="1:1" ht="17.100000000000001" customHeight="1" x14ac:dyDescent="0.3">
      <c r="A958920" s="17"/>
    </row>
    <row r="959212" spans="1:1" ht="17.100000000000001" customHeight="1" x14ac:dyDescent="0.3">
      <c r="A959212" s="17"/>
    </row>
    <row r="959504" spans="1:1" ht="17.100000000000001" customHeight="1" x14ac:dyDescent="0.3">
      <c r="A959504" s="17"/>
    </row>
    <row r="959796" spans="1:1" ht="17.100000000000001" customHeight="1" x14ac:dyDescent="0.3">
      <c r="A959796" s="17"/>
    </row>
    <row r="960088" spans="1:1" ht="17.100000000000001" customHeight="1" x14ac:dyDescent="0.3">
      <c r="A960088" s="17"/>
    </row>
    <row r="960380" spans="1:1" ht="17.100000000000001" customHeight="1" x14ac:dyDescent="0.3">
      <c r="A960380" s="17"/>
    </row>
    <row r="960672" spans="1:1" ht="17.100000000000001" customHeight="1" x14ac:dyDescent="0.3">
      <c r="A960672" s="17"/>
    </row>
    <row r="960964" spans="1:1" ht="17.100000000000001" customHeight="1" x14ac:dyDescent="0.3">
      <c r="A960964" s="17"/>
    </row>
    <row r="961256" spans="1:1" ht="17.100000000000001" customHeight="1" x14ac:dyDescent="0.3">
      <c r="A961256" s="17"/>
    </row>
    <row r="961548" spans="1:1" ht="17.100000000000001" customHeight="1" x14ac:dyDescent="0.3">
      <c r="A961548" s="17"/>
    </row>
    <row r="961840" spans="1:1" ht="17.100000000000001" customHeight="1" x14ac:dyDescent="0.3">
      <c r="A961840" s="17"/>
    </row>
    <row r="962132" spans="1:1" ht="17.100000000000001" customHeight="1" x14ac:dyDescent="0.3">
      <c r="A962132" s="17"/>
    </row>
    <row r="962424" spans="1:1" ht="17.100000000000001" customHeight="1" x14ac:dyDescent="0.3">
      <c r="A962424" s="17"/>
    </row>
    <row r="962716" spans="1:1" ht="17.100000000000001" customHeight="1" x14ac:dyDescent="0.3">
      <c r="A962716" s="17"/>
    </row>
    <row r="963008" spans="1:1" ht="17.100000000000001" customHeight="1" x14ac:dyDescent="0.3">
      <c r="A963008" s="17"/>
    </row>
    <row r="963300" spans="1:1" ht="17.100000000000001" customHeight="1" x14ac:dyDescent="0.3">
      <c r="A963300" s="17"/>
    </row>
    <row r="963592" spans="1:1" ht="17.100000000000001" customHeight="1" x14ac:dyDescent="0.3">
      <c r="A963592" s="17"/>
    </row>
    <row r="963884" spans="1:1" ht="17.100000000000001" customHeight="1" x14ac:dyDescent="0.3">
      <c r="A963884" s="17"/>
    </row>
    <row r="964176" spans="1:1" ht="17.100000000000001" customHeight="1" x14ac:dyDescent="0.3">
      <c r="A964176" s="17"/>
    </row>
    <row r="964468" spans="1:1" ht="17.100000000000001" customHeight="1" x14ac:dyDescent="0.3">
      <c r="A964468" s="17"/>
    </row>
    <row r="964760" spans="1:1" ht="17.100000000000001" customHeight="1" x14ac:dyDescent="0.3">
      <c r="A964760" s="17"/>
    </row>
    <row r="965052" spans="1:1" ht="17.100000000000001" customHeight="1" x14ac:dyDescent="0.3">
      <c r="A965052" s="17"/>
    </row>
    <row r="965344" spans="1:1" ht="17.100000000000001" customHeight="1" x14ac:dyDescent="0.3">
      <c r="A965344" s="17"/>
    </row>
    <row r="965636" spans="1:1" ht="17.100000000000001" customHeight="1" x14ac:dyDescent="0.3">
      <c r="A965636" s="17"/>
    </row>
    <row r="965928" spans="1:1" ht="17.100000000000001" customHeight="1" x14ac:dyDescent="0.3">
      <c r="A965928" s="17"/>
    </row>
    <row r="966220" spans="1:1" ht="17.100000000000001" customHeight="1" x14ac:dyDescent="0.3">
      <c r="A966220" s="17"/>
    </row>
    <row r="966512" spans="1:1" ht="17.100000000000001" customHeight="1" x14ac:dyDescent="0.3">
      <c r="A966512" s="17"/>
    </row>
    <row r="966804" spans="1:1" ht="17.100000000000001" customHeight="1" x14ac:dyDescent="0.3">
      <c r="A966804" s="17"/>
    </row>
    <row r="967096" spans="1:1" ht="17.100000000000001" customHeight="1" x14ac:dyDescent="0.3">
      <c r="A967096" s="17"/>
    </row>
    <row r="967388" spans="1:1" ht="17.100000000000001" customHeight="1" x14ac:dyDescent="0.3">
      <c r="A967388" s="17"/>
    </row>
    <row r="967680" spans="1:1" ht="17.100000000000001" customHeight="1" x14ac:dyDescent="0.3">
      <c r="A967680" s="17"/>
    </row>
    <row r="967972" spans="1:1" ht="17.100000000000001" customHeight="1" x14ac:dyDescent="0.3">
      <c r="A967972" s="17"/>
    </row>
    <row r="968264" spans="1:1" ht="17.100000000000001" customHeight="1" x14ac:dyDescent="0.3">
      <c r="A968264" s="17"/>
    </row>
    <row r="968556" spans="1:1" ht="17.100000000000001" customHeight="1" x14ac:dyDescent="0.3">
      <c r="A968556" s="17"/>
    </row>
    <row r="968848" spans="1:1" ht="17.100000000000001" customHeight="1" x14ac:dyDescent="0.3">
      <c r="A968848" s="17"/>
    </row>
    <row r="969140" spans="1:1" ht="17.100000000000001" customHeight="1" x14ac:dyDescent="0.3">
      <c r="A969140" s="17"/>
    </row>
    <row r="969432" spans="1:1" ht="17.100000000000001" customHeight="1" x14ac:dyDescent="0.3">
      <c r="A969432" s="17"/>
    </row>
    <row r="969724" spans="1:1" ht="17.100000000000001" customHeight="1" x14ac:dyDescent="0.3">
      <c r="A969724" s="17"/>
    </row>
    <row r="970016" spans="1:1" ht="17.100000000000001" customHeight="1" x14ac:dyDescent="0.3">
      <c r="A970016" s="17"/>
    </row>
    <row r="970308" spans="1:1" ht="17.100000000000001" customHeight="1" x14ac:dyDescent="0.3">
      <c r="A970308" s="17"/>
    </row>
    <row r="970600" spans="1:1" ht="17.100000000000001" customHeight="1" x14ac:dyDescent="0.3">
      <c r="A970600" s="17"/>
    </row>
    <row r="970892" spans="1:1" ht="17.100000000000001" customHeight="1" x14ac:dyDescent="0.3">
      <c r="A970892" s="17"/>
    </row>
    <row r="971184" spans="1:1" ht="17.100000000000001" customHeight="1" x14ac:dyDescent="0.3">
      <c r="A971184" s="17"/>
    </row>
    <row r="971476" spans="1:1" ht="17.100000000000001" customHeight="1" x14ac:dyDescent="0.3">
      <c r="A971476" s="17"/>
    </row>
    <row r="971768" spans="1:1" ht="17.100000000000001" customHeight="1" x14ac:dyDescent="0.3">
      <c r="A971768" s="17"/>
    </row>
    <row r="972060" spans="1:1" ht="17.100000000000001" customHeight="1" x14ac:dyDescent="0.3">
      <c r="A972060" s="17"/>
    </row>
    <row r="972352" spans="1:1" ht="17.100000000000001" customHeight="1" x14ac:dyDescent="0.3">
      <c r="A972352" s="17"/>
    </row>
    <row r="972644" spans="1:1" ht="17.100000000000001" customHeight="1" x14ac:dyDescent="0.3">
      <c r="A972644" s="17"/>
    </row>
    <row r="972936" spans="1:1" ht="17.100000000000001" customHeight="1" x14ac:dyDescent="0.3">
      <c r="A972936" s="17"/>
    </row>
    <row r="973228" spans="1:1" ht="17.100000000000001" customHeight="1" x14ac:dyDescent="0.3">
      <c r="A973228" s="17"/>
    </row>
    <row r="973520" spans="1:1" ht="17.100000000000001" customHeight="1" x14ac:dyDescent="0.3">
      <c r="A973520" s="17"/>
    </row>
    <row r="973812" spans="1:1" ht="17.100000000000001" customHeight="1" x14ac:dyDescent="0.3">
      <c r="A973812" s="17"/>
    </row>
    <row r="974104" spans="1:1" ht="17.100000000000001" customHeight="1" x14ac:dyDescent="0.3">
      <c r="A974104" s="17"/>
    </row>
    <row r="974396" spans="1:1" ht="17.100000000000001" customHeight="1" x14ac:dyDescent="0.3">
      <c r="A974396" s="17"/>
    </row>
    <row r="974688" spans="1:1" ht="17.100000000000001" customHeight="1" x14ac:dyDescent="0.3">
      <c r="A974688" s="17"/>
    </row>
    <row r="974980" spans="1:1" ht="17.100000000000001" customHeight="1" x14ac:dyDescent="0.3">
      <c r="A974980" s="17"/>
    </row>
    <row r="975272" spans="1:1" ht="17.100000000000001" customHeight="1" x14ac:dyDescent="0.3">
      <c r="A975272" s="17"/>
    </row>
    <row r="975564" spans="1:1" ht="17.100000000000001" customHeight="1" x14ac:dyDescent="0.3">
      <c r="A975564" s="17"/>
    </row>
    <row r="975856" spans="1:1" ht="17.100000000000001" customHeight="1" x14ac:dyDescent="0.3">
      <c r="A975856" s="17"/>
    </row>
    <row r="976148" spans="1:1" ht="17.100000000000001" customHeight="1" x14ac:dyDescent="0.3">
      <c r="A976148" s="17"/>
    </row>
    <row r="976440" spans="1:1" ht="17.100000000000001" customHeight="1" x14ac:dyDescent="0.3">
      <c r="A976440" s="17"/>
    </row>
    <row r="976732" spans="1:1" ht="17.100000000000001" customHeight="1" x14ac:dyDescent="0.3">
      <c r="A976732" s="17"/>
    </row>
    <row r="977024" spans="1:1" ht="17.100000000000001" customHeight="1" x14ac:dyDescent="0.3">
      <c r="A977024" s="17"/>
    </row>
    <row r="977316" spans="1:1" ht="17.100000000000001" customHeight="1" x14ac:dyDescent="0.3">
      <c r="A977316" s="17"/>
    </row>
    <row r="977608" spans="1:1" ht="17.100000000000001" customHeight="1" x14ac:dyDescent="0.3">
      <c r="A977608" s="17"/>
    </row>
    <row r="977900" spans="1:1" ht="17.100000000000001" customHeight="1" x14ac:dyDescent="0.3">
      <c r="A977900" s="17"/>
    </row>
    <row r="978192" spans="1:1" ht="17.100000000000001" customHeight="1" x14ac:dyDescent="0.3">
      <c r="A978192" s="17"/>
    </row>
    <row r="978484" spans="1:1" ht="17.100000000000001" customHeight="1" x14ac:dyDescent="0.3">
      <c r="A978484" s="17"/>
    </row>
    <row r="978776" spans="1:1" ht="17.100000000000001" customHeight="1" x14ac:dyDescent="0.3">
      <c r="A978776" s="17"/>
    </row>
    <row r="979068" spans="1:1" ht="17.100000000000001" customHeight="1" x14ac:dyDescent="0.3">
      <c r="A979068" s="17"/>
    </row>
    <row r="979360" spans="1:1" ht="17.100000000000001" customHeight="1" x14ac:dyDescent="0.3">
      <c r="A979360" s="17"/>
    </row>
    <row r="979652" spans="1:1" ht="17.100000000000001" customHeight="1" x14ac:dyDescent="0.3">
      <c r="A979652" s="17"/>
    </row>
    <row r="979944" spans="1:1" ht="17.100000000000001" customHeight="1" x14ac:dyDescent="0.3">
      <c r="A979944" s="17"/>
    </row>
    <row r="980236" spans="1:1" ht="17.100000000000001" customHeight="1" x14ac:dyDescent="0.3">
      <c r="A980236" s="17"/>
    </row>
    <row r="980528" spans="1:1" ht="17.100000000000001" customHeight="1" x14ac:dyDescent="0.3">
      <c r="A980528" s="17"/>
    </row>
    <row r="980820" spans="1:1" ht="17.100000000000001" customHeight="1" x14ac:dyDescent="0.3">
      <c r="A980820" s="17"/>
    </row>
    <row r="981112" spans="1:1" ht="17.100000000000001" customHeight="1" x14ac:dyDescent="0.3">
      <c r="A981112" s="17"/>
    </row>
    <row r="981404" spans="1:1" ht="17.100000000000001" customHeight="1" x14ac:dyDescent="0.3">
      <c r="A981404" s="17"/>
    </row>
    <row r="981696" spans="1:1" ht="17.100000000000001" customHeight="1" x14ac:dyDescent="0.3">
      <c r="A981696" s="17"/>
    </row>
    <row r="981988" spans="1:1" ht="17.100000000000001" customHeight="1" x14ac:dyDescent="0.3">
      <c r="A981988" s="17"/>
    </row>
    <row r="982280" spans="1:1" ht="17.100000000000001" customHeight="1" x14ac:dyDescent="0.3">
      <c r="A982280" s="17"/>
    </row>
    <row r="982572" spans="1:1" ht="17.100000000000001" customHeight="1" x14ac:dyDescent="0.3">
      <c r="A982572" s="17"/>
    </row>
    <row r="982864" spans="1:1" ht="17.100000000000001" customHeight="1" x14ac:dyDescent="0.3">
      <c r="A982864" s="17"/>
    </row>
    <row r="983156" spans="1:1" ht="17.100000000000001" customHeight="1" x14ac:dyDescent="0.3">
      <c r="A983156" s="17"/>
    </row>
    <row r="983448" spans="1:1" ht="17.100000000000001" customHeight="1" x14ac:dyDescent="0.3">
      <c r="A983448" s="17"/>
    </row>
    <row r="983740" spans="1:1" ht="17.100000000000001" customHeight="1" x14ac:dyDescent="0.3">
      <c r="A983740" s="17"/>
    </row>
    <row r="984032" spans="1:1" ht="17.100000000000001" customHeight="1" x14ac:dyDescent="0.3">
      <c r="A984032" s="17"/>
    </row>
    <row r="984324" spans="1:1" ht="17.100000000000001" customHeight="1" x14ac:dyDescent="0.3">
      <c r="A984324" s="17"/>
    </row>
    <row r="984616" spans="1:1" ht="17.100000000000001" customHeight="1" x14ac:dyDescent="0.3">
      <c r="A984616" s="17"/>
    </row>
    <row r="984908" spans="1:1" ht="17.100000000000001" customHeight="1" x14ac:dyDescent="0.3">
      <c r="A984908" s="17"/>
    </row>
    <row r="985200" spans="1:1" ht="17.100000000000001" customHeight="1" x14ac:dyDescent="0.3">
      <c r="A985200" s="17"/>
    </row>
    <row r="985492" spans="1:1" ht="17.100000000000001" customHeight="1" x14ac:dyDescent="0.3">
      <c r="A985492" s="17"/>
    </row>
    <row r="985784" spans="1:1" ht="17.100000000000001" customHeight="1" x14ac:dyDescent="0.3">
      <c r="A985784" s="17"/>
    </row>
    <row r="986076" spans="1:1" ht="17.100000000000001" customHeight="1" x14ac:dyDescent="0.3">
      <c r="A986076" s="17"/>
    </row>
    <row r="986368" spans="1:1" ht="17.100000000000001" customHeight="1" x14ac:dyDescent="0.3">
      <c r="A986368" s="17"/>
    </row>
    <row r="986660" spans="1:1" ht="17.100000000000001" customHeight="1" x14ac:dyDescent="0.3">
      <c r="A986660" s="17"/>
    </row>
    <row r="986952" spans="1:1" ht="17.100000000000001" customHeight="1" x14ac:dyDescent="0.3">
      <c r="A986952" s="17"/>
    </row>
    <row r="987244" spans="1:1" ht="17.100000000000001" customHeight="1" x14ac:dyDescent="0.3">
      <c r="A987244" s="17"/>
    </row>
    <row r="987536" spans="1:1" ht="17.100000000000001" customHeight="1" x14ac:dyDescent="0.3">
      <c r="A987536" s="17"/>
    </row>
    <row r="987828" spans="1:1" ht="17.100000000000001" customHeight="1" x14ac:dyDescent="0.3">
      <c r="A987828" s="17"/>
    </row>
    <row r="988120" spans="1:1" ht="17.100000000000001" customHeight="1" x14ac:dyDescent="0.3">
      <c r="A988120" s="17"/>
    </row>
    <row r="988412" spans="1:1" ht="17.100000000000001" customHeight="1" x14ac:dyDescent="0.3">
      <c r="A988412" s="17"/>
    </row>
    <row r="988704" spans="1:1" ht="17.100000000000001" customHeight="1" x14ac:dyDescent="0.3">
      <c r="A988704" s="17"/>
    </row>
    <row r="988996" spans="1:1" ht="17.100000000000001" customHeight="1" x14ac:dyDescent="0.3">
      <c r="A988996" s="17"/>
    </row>
    <row r="989288" spans="1:1" ht="17.100000000000001" customHeight="1" x14ac:dyDescent="0.3">
      <c r="A989288" s="17"/>
    </row>
    <row r="989580" spans="1:1" ht="17.100000000000001" customHeight="1" x14ac:dyDescent="0.3">
      <c r="A989580" s="17"/>
    </row>
    <row r="989872" spans="1:1" ht="17.100000000000001" customHeight="1" x14ac:dyDescent="0.3">
      <c r="A989872" s="17"/>
    </row>
    <row r="990164" spans="1:1" ht="17.100000000000001" customHeight="1" x14ac:dyDescent="0.3">
      <c r="A990164" s="17"/>
    </row>
    <row r="990456" spans="1:1" ht="17.100000000000001" customHeight="1" x14ac:dyDescent="0.3">
      <c r="A990456" s="17"/>
    </row>
    <row r="990748" spans="1:1" ht="17.100000000000001" customHeight="1" x14ac:dyDescent="0.3">
      <c r="A990748" s="17"/>
    </row>
    <row r="991040" spans="1:1" ht="17.100000000000001" customHeight="1" x14ac:dyDescent="0.3">
      <c r="A991040" s="17"/>
    </row>
    <row r="991332" spans="1:1" ht="17.100000000000001" customHeight="1" x14ac:dyDescent="0.3">
      <c r="A991332" s="17"/>
    </row>
    <row r="991624" spans="1:1" ht="17.100000000000001" customHeight="1" x14ac:dyDescent="0.3">
      <c r="A991624" s="17"/>
    </row>
    <row r="991916" spans="1:1" ht="17.100000000000001" customHeight="1" x14ac:dyDescent="0.3">
      <c r="A991916" s="17"/>
    </row>
    <row r="992208" spans="1:1" ht="17.100000000000001" customHeight="1" x14ac:dyDescent="0.3">
      <c r="A992208" s="17"/>
    </row>
    <row r="992500" spans="1:1" ht="17.100000000000001" customHeight="1" x14ac:dyDescent="0.3">
      <c r="A992500" s="17"/>
    </row>
    <row r="992792" spans="1:1" ht="17.100000000000001" customHeight="1" x14ac:dyDescent="0.3">
      <c r="A992792" s="17"/>
    </row>
    <row r="993084" spans="1:1" ht="17.100000000000001" customHeight="1" x14ac:dyDescent="0.3">
      <c r="A993084" s="17"/>
    </row>
    <row r="993376" spans="1:1" ht="17.100000000000001" customHeight="1" x14ac:dyDescent="0.3">
      <c r="A993376" s="17"/>
    </row>
    <row r="993668" spans="1:1" ht="17.100000000000001" customHeight="1" x14ac:dyDescent="0.3">
      <c r="A993668" s="17"/>
    </row>
    <row r="993960" spans="1:1" ht="17.100000000000001" customHeight="1" x14ac:dyDescent="0.3">
      <c r="A993960" s="17"/>
    </row>
    <row r="994252" spans="1:1" ht="17.100000000000001" customHeight="1" x14ac:dyDescent="0.3">
      <c r="A994252" s="17"/>
    </row>
    <row r="994544" spans="1:1" ht="17.100000000000001" customHeight="1" x14ac:dyDescent="0.3">
      <c r="A994544" s="17"/>
    </row>
    <row r="994836" spans="1:1" ht="17.100000000000001" customHeight="1" x14ac:dyDescent="0.3">
      <c r="A994836" s="17"/>
    </row>
    <row r="995128" spans="1:1" ht="17.100000000000001" customHeight="1" x14ac:dyDescent="0.3">
      <c r="A995128" s="17"/>
    </row>
    <row r="995420" spans="1:1" ht="17.100000000000001" customHeight="1" x14ac:dyDescent="0.3">
      <c r="A995420" s="17"/>
    </row>
    <row r="995712" spans="1:1" ht="17.100000000000001" customHeight="1" x14ac:dyDescent="0.3">
      <c r="A995712" s="17"/>
    </row>
    <row r="996004" spans="1:1" ht="17.100000000000001" customHeight="1" x14ac:dyDescent="0.3">
      <c r="A996004" s="17"/>
    </row>
    <row r="996296" spans="1:1" ht="17.100000000000001" customHeight="1" x14ac:dyDescent="0.3">
      <c r="A996296" s="17"/>
    </row>
    <row r="996588" spans="1:1" ht="17.100000000000001" customHeight="1" x14ac:dyDescent="0.3">
      <c r="A996588" s="17"/>
    </row>
    <row r="996880" spans="1:1" ht="17.100000000000001" customHeight="1" x14ac:dyDescent="0.3">
      <c r="A996880" s="17"/>
    </row>
    <row r="997172" spans="1:1" ht="17.100000000000001" customHeight="1" x14ac:dyDescent="0.3">
      <c r="A997172" s="17"/>
    </row>
    <row r="997464" spans="1:1" ht="17.100000000000001" customHeight="1" x14ac:dyDescent="0.3">
      <c r="A997464" s="17"/>
    </row>
    <row r="997756" spans="1:1" ht="17.100000000000001" customHeight="1" x14ac:dyDescent="0.3">
      <c r="A997756" s="17"/>
    </row>
    <row r="998048" spans="1:1" ht="17.100000000000001" customHeight="1" x14ac:dyDescent="0.3">
      <c r="A998048" s="17"/>
    </row>
    <row r="998340" spans="1:1" ht="17.100000000000001" customHeight="1" x14ac:dyDescent="0.3">
      <c r="A998340" s="17"/>
    </row>
    <row r="998632" spans="1:1" ht="17.100000000000001" customHeight="1" x14ac:dyDescent="0.3">
      <c r="A998632" s="17"/>
    </row>
    <row r="998924" spans="1:1" ht="17.100000000000001" customHeight="1" x14ac:dyDescent="0.3">
      <c r="A998924" s="17"/>
    </row>
    <row r="999216" spans="1:1" ht="17.100000000000001" customHeight="1" x14ac:dyDescent="0.3">
      <c r="A999216" s="17"/>
    </row>
    <row r="999508" spans="1:1" ht="17.100000000000001" customHeight="1" x14ac:dyDescent="0.3">
      <c r="A999508" s="17"/>
    </row>
    <row r="999800" spans="1:1" ht="17.100000000000001" customHeight="1" x14ac:dyDescent="0.3">
      <c r="A999800" s="17"/>
    </row>
    <row r="1000092" spans="1:1" ht="17.100000000000001" customHeight="1" x14ac:dyDescent="0.3">
      <c r="A1000092" s="17"/>
    </row>
    <row r="1000384" spans="1:1" ht="17.100000000000001" customHeight="1" x14ac:dyDescent="0.3">
      <c r="A1000384" s="17"/>
    </row>
    <row r="1000676" spans="1:1" ht="17.100000000000001" customHeight="1" x14ac:dyDescent="0.3">
      <c r="A1000676" s="17"/>
    </row>
    <row r="1000968" spans="1:1" ht="17.100000000000001" customHeight="1" x14ac:dyDescent="0.3">
      <c r="A1000968" s="17"/>
    </row>
    <row r="1001260" spans="1:1" ht="17.100000000000001" customHeight="1" x14ac:dyDescent="0.3">
      <c r="A1001260" s="17"/>
    </row>
    <row r="1001552" spans="1:1" ht="17.100000000000001" customHeight="1" x14ac:dyDescent="0.3">
      <c r="A1001552" s="17"/>
    </row>
    <row r="1001844" spans="1:1" ht="17.100000000000001" customHeight="1" x14ac:dyDescent="0.3">
      <c r="A1001844" s="17"/>
    </row>
    <row r="1002136" spans="1:1" ht="17.100000000000001" customHeight="1" x14ac:dyDescent="0.3">
      <c r="A1002136" s="17"/>
    </row>
    <row r="1002428" spans="1:1" ht="17.100000000000001" customHeight="1" x14ac:dyDescent="0.3">
      <c r="A1002428" s="17"/>
    </row>
    <row r="1002720" spans="1:1" ht="17.100000000000001" customHeight="1" x14ac:dyDescent="0.3">
      <c r="A1002720" s="17"/>
    </row>
    <row r="1003012" spans="1:1" ht="17.100000000000001" customHeight="1" x14ac:dyDescent="0.3">
      <c r="A1003012" s="17"/>
    </row>
    <row r="1003304" spans="1:1" ht="17.100000000000001" customHeight="1" x14ac:dyDescent="0.3">
      <c r="A1003304" s="17"/>
    </row>
    <row r="1003596" spans="1:1" ht="17.100000000000001" customHeight="1" x14ac:dyDescent="0.3">
      <c r="A1003596" s="17"/>
    </row>
    <row r="1003888" spans="1:1" ht="17.100000000000001" customHeight="1" x14ac:dyDescent="0.3">
      <c r="A1003888" s="17"/>
    </row>
    <row r="1004180" spans="1:1" ht="17.100000000000001" customHeight="1" x14ac:dyDescent="0.3">
      <c r="A1004180" s="17"/>
    </row>
    <row r="1004472" spans="1:1" ht="17.100000000000001" customHeight="1" x14ac:dyDescent="0.3">
      <c r="A1004472" s="17"/>
    </row>
    <row r="1004764" spans="1:1" ht="17.100000000000001" customHeight="1" x14ac:dyDescent="0.3">
      <c r="A1004764" s="17"/>
    </row>
    <row r="1005056" spans="1:1" ht="17.100000000000001" customHeight="1" x14ac:dyDescent="0.3">
      <c r="A1005056" s="17"/>
    </row>
    <row r="1005348" spans="1:1" ht="17.100000000000001" customHeight="1" x14ac:dyDescent="0.3">
      <c r="A1005348" s="17"/>
    </row>
    <row r="1005640" spans="1:1" ht="17.100000000000001" customHeight="1" x14ac:dyDescent="0.3">
      <c r="A1005640" s="17"/>
    </row>
    <row r="1005932" spans="1:1" ht="17.100000000000001" customHeight="1" x14ac:dyDescent="0.3">
      <c r="A1005932" s="17"/>
    </row>
    <row r="1006224" spans="1:1" ht="17.100000000000001" customHeight="1" x14ac:dyDescent="0.3">
      <c r="A1006224" s="17"/>
    </row>
    <row r="1006516" spans="1:1" ht="17.100000000000001" customHeight="1" x14ac:dyDescent="0.3">
      <c r="A1006516" s="17"/>
    </row>
    <row r="1006808" spans="1:1" ht="17.100000000000001" customHeight="1" x14ac:dyDescent="0.3">
      <c r="A1006808" s="17"/>
    </row>
    <row r="1007100" spans="1:1" ht="17.100000000000001" customHeight="1" x14ac:dyDescent="0.3">
      <c r="A1007100" s="17"/>
    </row>
    <row r="1007392" spans="1:1" ht="17.100000000000001" customHeight="1" x14ac:dyDescent="0.3">
      <c r="A1007392" s="17"/>
    </row>
    <row r="1007684" spans="1:1" ht="17.100000000000001" customHeight="1" x14ac:dyDescent="0.3">
      <c r="A1007684" s="17"/>
    </row>
    <row r="1007976" spans="1:1" ht="17.100000000000001" customHeight="1" x14ac:dyDescent="0.3">
      <c r="A1007976" s="17"/>
    </row>
    <row r="1008268" spans="1:1" ht="17.100000000000001" customHeight="1" x14ac:dyDescent="0.3">
      <c r="A1008268" s="17"/>
    </row>
    <row r="1008560" spans="1:1" ht="17.100000000000001" customHeight="1" x14ac:dyDescent="0.3">
      <c r="A1008560" s="17"/>
    </row>
    <row r="1008852" spans="1:1" ht="17.100000000000001" customHeight="1" x14ac:dyDescent="0.3">
      <c r="A1008852" s="17"/>
    </row>
    <row r="1009144" spans="1:1" ht="17.100000000000001" customHeight="1" x14ac:dyDescent="0.3">
      <c r="A1009144" s="17"/>
    </row>
    <row r="1009436" spans="1:1" ht="17.100000000000001" customHeight="1" x14ac:dyDescent="0.3">
      <c r="A1009436" s="17"/>
    </row>
    <row r="1009728" spans="1:1" ht="17.100000000000001" customHeight="1" x14ac:dyDescent="0.3">
      <c r="A1009728" s="17"/>
    </row>
    <row r="1010020" spans="1:1" ht="17.100000000000001" customHeight="1" x14ac:dyDescent="0.3">
      <c r="A1010020" s="17"/>
    </row>
    <row r="1010312" spans="1:1" ht="17.100000000000001" customHeight="1" x14ac:dyDescent="0.3">
      <c r="A1010312" s="17"/>
    </row>
    <row r="1010604" spans="1:1" ht="17.100000000000001" customHeight="1" x14ac:dyDescent="0.3">
      <c r="A1010604" s="17"/>
    </row>
    <row r="1010896" spans="1:1" ht="17.100000000000001" customHeight="1" x14ac:dyDescent="0.3">
      <c r="A1010896" s="17"/>
    </row>
    <row r="1011188" spans="1:1" ht="17.100000000000001" customHeight="1" x14ac:dyDescent="0.3">
      <c r="A1011188" s="17"/>
    </row>
    <row r="1011480" spans="1:1" ht="17.100000000000001" customHeight="1" x14ac:dyDescent="0.3">
      <c r="A1011480" s="17"/>
    </row>
    <row r="1011772" spans="1:1" ht="17.100000000000001" customHeight="1" x14ac:dyDescent="0.3">
      <c r="A1011772" s="17"/>
    </row>
    <row r="1012064" spans="1:1" ht="17.100000000000001" customHeight="1" x14ac:dyDescent="0.3">
      <c r="A1012064" s="17"/>
    </row>
    <row r="1012356" spans="1:1" ht="17.100000000000001" customHeight="1" x14ac:dyDescent="0.3">
      <c r="A1012356" s="17"/>
    </row>
    <row r="1012648" spans="1:1" ht="17.100000000000001" customHeight="1" x14ac:dyDescent="0.3">
      <c r="A1012648" s="17"/>
    </row>
    <row r="1012940" spans="1:1" ht="17.100000000000001" customHeight="1" x14ac:dyDescent="0.3">
      <c r="A1012940" s="17"/>
    </row>
    <row r="1013232" spans="1:1" ht="17.100000000000001" customHeight="1" x14ac:dyDescent="0.3">
      <c r="A1013232" s="17"/>
    </row>
    <row r="1013524" spans="1:1" ht="17.100000000000001" customHeight="1" x14ac:dyDescent="0.3">
      <c r="A1013524" s="17"/>
    </row>
    <row r="1013816" spans="1:1" ht="17.100000000000001" customHeight="1" x14ac:dyDescent="0.3">
      <c r="A1013816" s="17"/>
    </row>
    <row r="1014108" spans="1:1" ht="17.100000000000001" customHeight="1" x14ac:dyDescent="0.3">
      <c r="A1014108" s="17"/>
    </row>
    <row r="1014400" spans="1:1" ht="17.100000000000001" customHeight="1" x14ac:dyDescent="0.3">
      <c r="A1014400" s="17"/>
    </row>
    <row r="1014692" spans="1:1" ht="17.100000000000001" customHeight="1" x14ac:dyDescent="0.3">
      <c r="A1014692" s="17"/>
    </row>
    <row r="1014984" spans="1:1" ht="17.100000000000001" customHeight="1" x14ac:dyDescent="0.3">
      <c r="A1014984" s="17"/>
    </row>
    <row r="1015276" spans="1:1" ht="17.100000000000001" customHeight="1" x14ac:dyDescent="0.3">
      <c r="A1015276" s="17"/>
    </row>
    <row r="1015568" spans="1:1" ht="17.100000000000001" customHeight="1" x14ac:dyDescent="0.3">
      <c r="A1015568" s="17"/>
    </row>
    <row r="1015860" spans="1:1" ht="17.100000000000001" customHeight="1" x14ac:dyDescent="0.3">
      <c r="A1015860" s="17"/>
    </row>
    <row r="1016152" spans="1:1" ht="17.100000000000001" customHeight="1" x14ac:dyDescent="0.3">
      <c r="A1016152" s="17"/>
    </row>
    <row r="1016444" spans="1:1" ht="17.100000000000001" customHeight="1" x14ac:dyDescent="0.3">
      <c r="A1016444" s="17"/>
    </row>
    <row r="1016736" spans="1:1" ht="17.100000000000001" customHeight="1" x14ac:dyDescent="0.3">
      <c r="A1016736" s="17"/>
    </row>
    <row r="1017028" spans="1:1" ht="17.100000000000001" customHeight="1" x14ac:dyDescent="0.3">
      <c r="A1017028" s="17"/>
    </row>
    <row r="1017320" spans="1:1" ht="17.100000000000001" customHeight="1" x14ac:dyDescent="0.3">
      <c r="A1017320" s="17"/>
    </row>
    <row r="1017612" spans="1:1" ht="17.100000000000001" customHeight="1" x14ac:dyDescent="0.3">
      <c r="A1017612" s="17"/>
    </row>
    <row r="1017904" spans="1:1" ht="17.100000000000001" customHeight="1" x14ac:dyDescent="0.3">
      <c r="A1017904" s="17"/>
    </row>
    <row r="1018196" spans="1:1" ht="17.100000000000001" customHeight="1" x14ac:dyDescent="0.3">
      <c r="A1018196" s="17"/>
    </row>
    <row r="1018488" spans="1:1" ht="17.100000000000001" customHeight="1" x14ac:dyDescent="0.3">
      <c r="A1018488" s="17"/>
    </row>
    <row r="1018780" spans="1:1" ht="17.100000000000001" customHeight="1" x14ac:dyDescent="0.3">
      <c r="A1018780" s="17"/>
    </row>
    <row r="1019072" spans="1:1" ht="17.100000000000001" customHeight="1" x14ac:dyDescent="0.3">
      <c r="A1019072" s="17"/>
    </row>
    <row r="1019364" spans="1:1" ht="17.100000000000001" customHeight="1" x14ac:dyDescent="0.3">
      <c r="A1019364" s="17"/>
    </row>
    <row r="1019656" spans="1:1" ht="17.100000000000001" customHeight="1" x14ac:dyDescent="0.3">
      <c r="A1019656" s="17"/>
    </row>
    <row r="1019948" spans="1:1" ht="17.100000000000001" customHeight="1" x14ac:dyDescent="0.3">
      <c r="A1019948" s="17"/>
    </row>
    <row r="1020240" spans="1:1" ht="17.100000000000001" customHeight="1" x14ac:dyDescent="0.3">
      <c r="A1020240" s="17"/>
    </row>
    <row r="1020532" spans="1:1" ht="17.100000000000001" customHeight="1" x14ac:dyDescent="0.3">
      <c r="A1020532" s="17"/>
    </row>
    <row r="1020824" spans="1:1" ht="17.100000000000001" customHeight="1" x14ac:dyDescent="0.3">
      <c r="A1020824" s="17"/>
    </row>
    <row r="1021116" spans="1:1" ht="17.100000000000001" customHeight="1" x14ac:dyDescent="0.3">
      <c r="A1021116" s="17"/>
    </row>
    <row r="1021408" spans="1:1" ht="17.100000000000001" customHeight="1" x14ac:dyDescent="0.3">
      <c r="A1021408" s="17"/>
    </row>
    <row r="1021700" spans="1:1" ht="17.100000000000001" customHeight="1" x14ac:dyDescent="0.3">
      <c r="A1021700" s="17"/>
    </row>
    <row r="1021992" spans="1:1" ht="17.100000000000001" customHeight="1" x14ac:dyDescent="0.3">
      <c r="A1021992" s="17"/>
    </row>
    <row r="1022284" spans="1:1" ht="17.100000000000001" customHeight="1" x14ac:dyDescent="0.3">
      <c r="A1022284" s="17"/>
    </row>
    <row r="1022576" spans="1:1" ht="17.100000000000001" customHeight="1" x14ac:dyDescent="0.3">
      <c r="A1022576" s="17"/>
    </row>
    <row r="1022868" spans="1:1" ht="17.100000000000001" customHeight="1" x14ac:dyDescent="0.3">
      <c r="A1022868" s="17"/>
    </row>
    <row r="1023160" spans="1:1" ht="17.100000000000001" customHeight="1" x14ac:dyDescent="0.3">
      <c r="A1023160" s="17"/>
    </row>
    <row r="1023452" spans="1:1" ht="17.100000000000001" customHeight="1" x14ac:dyDescent="0.3">
      <c r="A1023452" s="17"/>
    </row>
    <row r="1023744" spans="1:1" ht="17.100000000000001" customHeight="1" x14ac:dyDescent="0.3">
      <c r="A1023744" s="17"/>
    </row>
    <row r="1024036" spans="1:1" ht="17.100000000000001" customHeight="1" x14ac:dyDescent="0.3">
      <c r="A1024036" s="17"/>
    </row>
    <row r="1024328" spans="1:1" ht="17.100000000000001" customHeight="1" x14ac:dyDescent="0.3">
      <c r="A1024328" s="17"/>
    </row>
    <row r="1024620" spans="1:1" ht="17.100000000000001" customHeight="1" x14ac:dyDescent="0.3">
      <c r="A1024620" s="17"/>
    </row>
    <row r="1024912" spans="1:1" ht="17.100000000000001" customHeight="1" x14ac:dyDescent="0.3">
      <c r="A1024912" s="17"/>
    </row>
    <row r="1025204" spans="1:1" ht="17.100000000000001" customHeight="1" x14ac:dyDescent="0.3">
      <c r="A1025204" s="17"/>
    </row>
    <row r="1025496" spans="1:1" ht="17.100000000000001" customHeight="1" x14ac:dyDescent="0.3">
      <c r="A1025496" s="17"/>
    </row>
    <row r="1025788" spans="1:1" ht="17.100000000000001" customHeight="1" x14ac:dyDescent="0.3">
      <c r="A1025788" s="17"/>
    </row>
    <row r="1026080" spans="1:1" ht="17.100000000000001" customHeight="1" x14ac:dyDescent="0.3">
      <c r="A1026080" s="17"/>
    </row>
    <row r="1026372" spans="1:1" ht="17.100000000000001" customHeight="1" x14ac:dyDescent="0.3">
      <c r="A1026372" s="17"/>
    </row>
    <row r="1026664" spans="1:1" ht="17.100000000000001" customHeight="1" x14ac:dyDescent="0.3">
      <c r="A1026664" s="17"/>
    </row>
    <row r="1026956" spans="1:1" ht="17.100000000000001" customHeight="1" x14ac:dyDescent="0.3">
      <c r="A1026956" s="17"/>
    </row>
    <row r="1027248" spans="1:1" ht="17.100000000000001" customHeight="1" x14ac:dyDescent="0.3">
      <c r="A1027248" s="17"/>
    </row>
    <row r="1027540" spans="1:1" ht="17.100000000000001" customHeight="1" x14ac:dyDescent="0.3">
      <c r="A1027540" s="17"/>
    </row>
    <row r="1027832" spans="1:1" ht="17.100000000000001" customHeight="1" x14ac:dyDescent="0.3">
      <c r="A1027832" s="17"/>
    </row>
    <row r="1028124" spans="1:1" ht="17.100000000000001" customHeight="1" x14ac:dyDescent="0.3">
      <c r="A1028124" s="17"/>
    </row>
    <row r="1028416" spans="1:1" ht="17.100000000000001" customHeight="1" x14ac:dyDescent="0.3">
      <c r="A1028416" s="17"/>
    </row>
    <row r="1028708" spans="1:1" ht="17.100000000000001" customHeight="1" x14ac:dyDescent="0.3">
      <c r="A1028708" s="17"/>
    </row>
    <row r="1029000" spans="1:1" ht="17.100000000000001" customHeight="1" x14ac:dyDescent="0.3">
      <c r="A1029000" s="17"/>
    </row>
    <row r="1029292" spans="1:1" ht="17.100000000000001" customHeight="1" x14ac:dyDescent="0.3">
      <c r="A1029292" s="17"/>
    </row>
    <row r="1029584" spans="1:1" ht="17.100000000000001" customHeight="1" x14ac:dyDescent="0.3">
      <c r="A1029584" s="17"/>
    </row>
    <row r="1029876" spans="1:1" ht="17.100000000000001" customHeight="1" x14ac:dyDescent="0.3">
      <c r="A1029876" s="17"/>
    </row>
    <row r="1030168" spans="1:1" ht="17.100000000000001" customHeight="1" x14ac:dyDescent="0.3">
      <c r="A1030168" s="17"/>
    </row>
    <row r="1030460" spans="1:1" ht="17.100000000000001" customHeight="1" x14ac:dyDescent="0.3">
      <c r="A1030460" s="17"/>
    </row>
    <row r="1030752" spans="1:1" ht="17.100000000000001" customHeight="1" x14ac:dyDescent="0.3">
      <c r="A1030752" s="17"/>
    </row>
    <row r="1031044" spans="1:1" ht="17.100000000000001" customHeight="1" x14ac:dyDescent="0.3">
      <c r="A1031044" s="17"/>
    </row>
    <row r="1031336" spans="1:1" ht="17.100000000000001" customHeight="1" x14ac:dyDescent="0.3">
      <c r="A1031336" s="17"/>
    </row>
    <row r="1031628" spans="1:1" ht="17.100000000000001" customHeight="1" x14ac:dyDescent="0.3">
      <c r="A1031628" s="17"/>
    </row>
    <row r="1031920" spans="1:1" ht="17.100000000000001" customHeight="1" x14ac:dyDescent="0.3">
      <c r="A1031920" s="17"/>
    </row>
    <row r="1032212" spans="1:1" ht="17.100000000000001" customHeight="1" x14ac:dyDescent="0.3">
      <c r="A1032212" s="17"/>
    </row>
    <row r="1032504" spans="1:1" ht="17.100000000000001" customHeight="1" x14ac:dyDescent="0.3">
      <c r="A1032504" s="17"/>
    </row>
    <row r="1032796" spans="1:1" ht="17.100000000000001" customHeight="1" x14ac:dyDescent="0.3">
      <c r="A1032796" s="17"/>
    </row>
    <row r="1033088" spans="1:1" ht="17.100000000000001" customHeight="1" x14ac:dyDescent="0.3">
      <c r="A1033088" s="17"/>
    </row>
    <row r="1033380" spans="1:1" ht="17.100000000000001" customHeight="1" x14ac:dyDescent="0.3">
      <c r="A1033380" s="17"/>
    </row>
    <row r="1033672" spans="1:1" ht="17.100000000000001" customHeight="1" x14ac:dyDescent="0.3">
      <c r="A1033672" s="17"/>
    </row>
    <row r="1033964" spans="1:1" ht="17.100000000000001" customHeight="1" x14ac:dyDescent="0.3">
      <c r="A1033964" s="17"/>
    </row>
    <row r="1034256" spans="1:1" ht="17.100000000000001" customHeight="1" x14ac:dyDescent="0.3">
      <c r="A1034256" s="17"/>
    </row>
    <row r="1034548" spans="1:1" ht="17.100000000000001" customHeight="1" x14ac:dyDescent="0.3">
      <c r="A1034548" s="17"/>
    </row>
    <row r="1034840" spans="1:1" ht="17.100000000000001" customHeight="1" x14ac:dyDescent="0.3">
      <c r="A1034840" s="17"/>
    </row>
    <row r="1035132" spans="1:1" ht="17.100000000000001" customHeight="1" x14ac:dyDescent="0.3">
      <c r="A1035132" s="17"/>
    </row>
    <row r="1035424" spans="1:1" ht="17.100000000000001" customHeight="1" x14ac:dyDescent="0.3">
      <c r="A1035424" s="17"/>
    </row>
    <row r="1035716" spans="1:1" ht="17.100000000000001" customHeight="1" x14ac:dyDescent="0.3">
      <c r="A1035716" s="17"/>
    </row>
    <row r="1036008" spans="1:1" ht="17.100000000000001" customHeight="1" x14ac:dyDescent="0.3">
      <c r="A1036008" s="17"/>
    </row>
    <row r="1036300" spans="1:1" ht="17.100000000000001" customHeight="1" x14ac:dyDescent="0.3">
      <c r="A1036300" s="17"/>
    </row>
    <row r="1036592" spans="1:1" ht="17.100000000000001" customHeight="1" x14ac:dyDescent="0.3">
      <c r="A1036592" s="17"/>
    </row>
    <row r="1036884" spans="1:1" ht="17.100000000000001" customHeight="1" x14ac:dyDescent="0.3">
      <c r="A1036884" s="17"/>
    </row>
    <row r="1037176" spans="1:1" ht="17.100000000000001" customHeight="1" x14ac:dyDescent="0.3">
      <c r="A1037176" s="17"/>
    </row>
    <row r="1037468" spans="1:1" ht="17.100000000000001" customHeight="1" x14ac:dyDescent="0.3">
      <c r="A1037468" s="17"/>
    </row>
    <row r="1037760" spans="1:1" ht="17.100000000000001" customHeight="1" x14ac:dyDescent="0.3">
      <c r="A1037760" s="17"/>
    </row>
    <row r="1038052" spans="1:1" ht="17.100000000000001" customHeight="1" x14ac:dyDescent="0.3">
      <c r="A1038052" s="17"/>
    </row>
    <row r="1038344" spans="1:1" ht="17.100000000000001" customHeight="1" x14ac:dyDescent="0.3">
      <c r="A1038344" s="17"/>
    </row>
    <row r="1038636" spans="1:1" ht="17.100000000000001" customHeight="1" x14ac:dyDescent="0.3">
      <c r="A1038636" s="17"/>
    </row>
    <row r="1038928" spans="1:1" ht="17.100000000000001" customHeight="1" x14ac:dyDescent="0.3">
      <c r="A1038928" s="17"/>
    </row>
    <row r="1039220" spans="1:1" ht="17.100000000000001" customHeight="1" x14ac:dyDescent="0.3">
      <c r="A1039220" s="17"/>
    </row>
    <row r="1039512" spans="1:1" ht="17.100000000000001" customHeight="1" x14ac:dyDescent="0.3">
      <c r="A1039512" s="17"/>
    </row>
    <row r="1039804" spans="1:1" ht="17.100000000000001" customHeight="1" x14ac:dyDescent="0.3">
      <c r="A1039804" s="17"/>
    </row>
    <row r="1040096" spans="1:1" ht="17.100000000000001" customHeight="1" x14ac:dyDescent="0.3">
      <c r="A1040096" s="17"/>
    </row>
    <row r="1040388" spans="1:1" ht="17.100000000000001" customHeight="1" x14ac:dyDescent="0.3">
      <c r="A1040388" s="17"/>
    </row>
    <row r="1040680" spans="1:1" ht="17.100000000000001" customHeight="1" x14ac:dyDescent="0.3">
      <c r="A1040680" s="17"/>
    </row>
    <row r="1040972" spans="1:1" ht="17.100000000000001" customHeight="1" x14ac:dyDescent="0.3">
      <c r="A1040972" s="17"/>
    </row>
    <row r="1041264" spans="1:1" ht="17.100000000000001" customHeight="1" x14ac:dyDescent="0.3">
      <c r="A1041264" s="17"/>
    </row>
    <row r="1041556" spans="1:1" ht="17.100000000000001" customHeight="1" x14ac:dyDescent="0.3">
      <c r="A1041556" s="17"/>
    </row>
    <row r="1041848" spans="1:1" ht="17.100000000000001" customHeight="1" x14ac:dyDescent="0.3">
      <c r="A1041848" s="17"/>
    </row>
    <row r="1042140" spans="1:1" ht="17.100000000000001" customHeight="1" x14ac:dyDescent="0.3">
      <c r="A1042140" s="17"/>
    </row>
    <row r="1042432" spans="1:1" ht="17.100000000000001" customHeight="1" x14ac:dyDescent="0.3">
      <c r="A1042432" s="17"/>
    </row>
    <row r="1042724" spans="1:1" ht="17.100000000000001" customHeight="1" x14ac:dyDescent="0.3">
      <c r="A1042724" s="17"/>
    </row>
    <row r="1043016" spans="1:1" ht="17.100000000000001" customHeight="1" x14ac:dyDescent="0.3">
      <c r="A1043016" s="17"/>
    </row>
    <row r="1043308" spans="1:1" ht="17.100000000000001" customHeight="1" x14ac:dyDescent="0.3">
      <c r="A1043308" s="17"/>
    </row>
    <row r="1043600" spans="1:1" ht="17.100000000000001" customHeight="1" x14ac:dyDescent="0.3">
      <c r="A1043600" s="17"/>
    </row>
    <row r="1043892" spans="1:1" ht="17.100000000000001" customHeight="1" x14ac:dyDescent="0.3">
      <c r="A1043892" s="17"/>
    </row>
    <row r="1044184" spans="1:1" ht="17.100000000000001" customHeight="1" x14ac:dyDescent="0.3">
      <c r="A1044184" s="17"/>
    </row>
    <row r="1044476" spans="1:1" ht="17.100000000000001" customHeight="1" x14ac:dyDescent="0.3">
      <c r="A1044476" s="17"/>
    </row>
    <row r="1044768" spans="1:1" ht="17.100000000000001" customHeight="1" x14ac:dyDescent="0.3">
      <c r="A1044768" s="17"/>
    </row>
    <row r="1045060" spans="1:1" ht="17.100000000000001" customHeight="1" x14ac:dyDescent="0.3">
      <c r="A1045060" s="17"/>
    </row>
    <row r="1045352" spans="1:1" ht="17.100000000000001" customHeight="1" x14ac:dyDescent="0.3">
      <c r="A1045352" s="17"/>
    </row>
    <row r="1045644" spans="1:1" ht="17.100000000000001" customHeight="1" x14ac:dyDescent="0.3">
      <c r="A1045644" s="17"/>
    </row>
    <row r="1045936" spans="1:1" ht="17.100000000000001" customHeight="1" x14ac:dyDescent="0.3">
      <c r="A1045936" s="17"/>
    </row>
    <row r="1046228" spans="1:1" ht="17.100000000000001" customHeight="1" x14ac:dyDescent="0.3">
      <c r="A1046228" s="17"/>
    </row>
    <row r="1046520" spans="1:1" ht="17.100000000000001" customHeight="1" x14ac:dyDescent="0.3">
      <c r="A1046520" s="17"/>
    </row>
    <row r="1046812" spans="1:1" ht="17.100000000000001" customHeight="1" x14ac:dyDescent="0.3">
      <c r="A1046812" s="17"/>
    </row>
    <row r="1047104" spans="1:1" ht="17.100000000000001" customHeight="1" x14ac:dyDescent="0.3">
      <c r="A1047104" s="17"/>
    </row>
    <row r="1047396" spans="1:1" ht="17.100000000000001" customHeight="1" x14ac:dyDescent="0.3">
      <c r="A1047396" s="17"/>
    </row>
    <row r="1047688" spans="1:1" ht="17.100000000000001" customHeight="1" x14ac:dyDescent="0.3">
      <c r="A1047688" s="17"/>
    </row>
    <row r="1047980" spans="1:1" ht="17.100000000000001" customHeight="1" x14ac:dyDescent="0.3">
      <c r="A1047980" s="17"/>
    </row>
    <row r="1048272" spans="1:1" ht="17.100000000000001" customHeight="1" x14ac:dyDescent="0.3">
      <c r="A1048272" s="17"/>
    </row>
    <row r="1048564" spans="1:1" ht="17.100000000000001" customHeight="1" x14ac:dyDescent="0.3">
      <c r="A1048564" s="17"/>
    </row>
  </sheetData>
  <sheetProtection formatCells="0" formatColumns="0" formatRows="0" insertColumns="0" insertRows="0" insertHyperlinks="0" deleteColumns="0" deleteRows="0" sort="0" autoFilter="0" pivotTables="0"/>
  <autoFilter ref="B1:O292" xr:uid="{00000000-0009-0000-0000-000002000000}"/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c3612417-179a-4ab4-944e-6c7682865b27" xsi:nil="true"/>
    <ORDEM xmlns="f4910938-5ab5-4ac0-a86f-7bffd7174cef" xsi:nil="true"/>
    <lcf76f155ced4ddcb4097134ff3c332f xmlns="f4910938-5ab5-4ac0-a86f-7bffd7174cef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3E5CC62568A854D84EF5C14928F8AD7" ma:contentTypeVersion="15" ma:contentTypeDescription="Crie um novo documento." ma:contentTypeScope="" ma:versionID="cb0e666ae81c8a7a6d9ad4612b613789">
  <xsd:schema xmlns:xsd="http://www.w3.org/2001/XMLSchema" xmlns:xs="http://www.w3.org/2001/XMLSchema" xmlns:p="http://schemas.microsoft.com/office/2006/metadata/properties" xmlns:ns2="f4910938-5ab5-4ac0-a86f-7bffd7174cef" xmlns:ns3="c3612417-179a-4ab4-944e-6c7682865b27" targetNamespace="http://schemas.microsoft.com/office/2006/metadata/properties" ma:root="true" ma:fieldsID="e9ebc31c1fb2b4479485dca18d450397" ns2:_="" ns3:_="">
    <xsd:import namespace="f4910938-5ab5-4ac0-a86f-7bffd7174cef"/>
    <xsd:import namespace="c3612417-179a-4ab4-944e-6c7682865b2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Location" minOccurs="0"/>
                <xsd:element ref="ns2:MediaServiceBillingMetadata" minOccurs="0"/>
                <xsd:element ref="ns2:ORDEM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910938-5ab5-4ac0-a86f-7bffd7174ce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Marcações de imagem" ma:readOnly="false" ma:fieldId="{5cf76f15-5ced-4ddc-b409-7134ff3c332f}" ma:taxonomyMulti="true" ma:sspId="691feb1a-ef1c-491e-88e1-9c6757dc728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indexed="true" ma:internalName="MediaServiceLocation" ma:readOnly="true">
      <xsd:simpleType>
        <xsd:restriction base="dms:Text"/>
      </xsd:simpleType>
    </xsd:element>
    <xsd:element name="MediaServiceBillingMetadata" ma:index="21" nillable="true" ma:displayName="MediaServiceBillingMetadata" ma:hidden="true" ma:internalName="MediaServiceBillingMetadata" ma:readOnly="true">
      <xsd:simpleType>
        <xsd:restriction base="dms:Note"/>
      </xsd:simpleType>
    </xsd:element>
    <xsd:element name="ORDEM" ma:index="22" nillable="true" ma:displayName="ORDEM" ma:format="Dropdown" ma:internalName="ORDEM" ma:percentage="FALSE">
      <xsd:simpleType>
        <xsd:restriction base="dms:Number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612417-179a-4ab4-944e-6c7682865b27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784954bc-145e-43f1-926b-c2899091880a}" ma:internalName="TaxCatchAll" ma:showField="CatchAllData" ma:web="c3612417-179a-4ab4-944e-6c7682865b2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20E65D9-6F3F-42C2-B28E-374BAEC47836}">
  <ds:schemaRefs>
    <ds:schemaRef ds:uri="http://schemas.microsoft.com/office/2006/metadata/properties"/>
    <ds:schemaRef ds:uri="http://schemas.microsoft.com/office/infopath/2007/PartnerControls"/>
    <ds:schemaRef ds:uri="c3612417-179a-4ab4-944e-6c7682865b27"/>
    <ds:schemaRef ds:uri="f4910938-5ab5-4ac0-a86f-7bffd7174cef"/>
  </ds:schemaRefs>
</ds:datastoreItem>
</file>

<file path=customXml/itemProps2.xml><?xml version="1.0" encoding="utf-8"?>
<ds:datastoreItem xmlns:ds="http://schemas.openxmlformats.org/officeDocument/2006/customXml" ds:itemID="{FAE4240D-DF17-448B-89E2-977BBA93D7A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EB389EB-F643-4B8A-A997-057A6AD4C0C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4910938-5ab5-4ac0-a86f-7bffd7174cef"/>
    <ds:schemaRef ds:uri="c3612417-179a-4ab4-944e-6c7682865b2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2</vt:i4>
      </vt:variant>
    </vt:vector>
  </HeadingPairs>
  <TitlesOfParts>
    <vt:vector size="5" baseType="lpstr">
      <vt:lpstr>SINTESE</vt:lpstr>
      <vt:lpstr>Consumidores</vt:lpstr>
      <vt:lpstr>Contratos</vt:lpstr>
      <vt:lpstr>Consumidores!Area_de_impressao</vt:lpstr>
      <vt:lpstr>SINTESE!Area_de_impressao</vt:lpstr>
    </vt:vector>
  </TitlesOfParts>
  <Manager/>
  <Company>Microsoft Corporation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Untitled Spreadsheet</dc:title>
  <dc:subject/>
  <dc:creator>Unknown Creator</dc:creator>
  <cp:keywords/>
  <dc:description/>
  <cp:lastModifiedBy>Italo Fontes</cp:lastModifiedBy>
  <cp:revision/>
  <cp:lastPrinted>2026-05-18T20:41:42Z</cp:lastPrinted>
  <dcterms:created xsi:type="dcterms:W3CDTF">2023-10-03T12:42:51Z</dcterms:created>
  <dcterms:modified xsi:type="dcterms:W3CDTF">2026-06-02T20:27:51Z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0x010100B3E5CC62568A854D84EF5C14928F8AD7</vt:lpwstr>
  </property>
  <property fmtid="{D5CDD505-2E9C-101B-9397-08002B2CF9AE}" pid="3" name="MediaServiceImageTags">
    <vt:lpwstr/>
  </property>
</Properties>
</file>